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Repos\#Git\SIMULATION_Example\master\template_ui\"/>
    </mc:Choice>
  </mc:AlternateContent>
  <xr:revisionPtr revIDLastSave="0" documentId="13_ncr:1_{265E2288-7FB4-498F-A62E-EA49ECBD231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SU" sheetId="1" r:id="rId1"/>
    <sheet name="Dispatches" sheetId="2" r:id="rId2"/>
  </sheets>
  <externalReferences>
    <externalReference r:id="rId3"/>
    <externalReference r:id="rId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68" i="2" l="1"/>
  <c r="W168" i="2"/>
  <c r="Y168" i="2" s="1"/>
  <c r="U168" i="2"/>
  <c r="T168" i="2"/>
  <c r="AB167" i="2"/>
  <c r="W167" i="2"/>
  <c r="Y167" i="2" s="1"/>
  <c r="U167" i="2"/>
  <c r="T167" i="2"/>
  <c r="AB166" i="2"/>
  <c r="W166" i="2"/>
  <c r="Y166" i="2" s="1"/>
  <c r="U166" i="2"/>
  <c r="T166" i="2"/>
  <c r="AB165" i="2"/>
  <c r="W165" i="2"/>
  <c r="Y165" i="2" s="1"/>
  <c r="U165" i="2"/>
  <c r="T165" i="2"/>
  <c r="AB164" i="2"/>
  <c r="W164" i="2"/>
  <c r="Y164" i="2" s="1"/>
  <c r="U164" i="2"/>
  <c r="T164" i="2"/>
  <c r="AB163" i="2"/>
  <c r="W163" i="2"/>
  <c r="Y163" i="2" s="1"/>
  <c r="U163" i="2"/>
  <c r="T163" i="2"/>
  <c r="AB162" i="2"/>
  <c r="W162" i="2"/>
  <c r="Y162" i="2" s="1"/>
  <c r="U162" i="2"/>
  <c r="T162" i="2"/>
  <c r="AB161" i="2"/>
  <c r="W161" i="2"/>
  <c r="Y161" i="2" s="1"/>
  <c r="U161" i="2"/>
  <c r="T161" i="2"/>
  <c r="AB160" i="2"/>
  <c r="W160" i="2"/>
  <c r="Y160" i="2" s="1"/>
  <c r="U160" i="2"/>
  <c r="T160" i="2"/>
  <c r="AB159" i="2"/>
  <c r="W159" i="2"/>
  <c r="Y159" i="2" s="1"/>
  <c r="U159" i="2"/>
  <c r="T159" i="2"/>
  <c r="AB158" i="2"/>
  <c r="Y158" i="2"/>
  <c r="W158" i="2"/>
  <c r="U158" i="2"/>
  <c r="T158" i="2"/>
  <c r="AB157" i="2"/>
  <c r="W157" i="2"/>
  <c r="Y157" i="2" s="1"/>
  <c r="U157" i="2"/>
  <c r="T157" i="2"/>
  <c r="AB156" i="2"/>
  <c r="W156" i="2"/>
  <c r="Y156" i="2" s="1"/>
  <c r="U156" i="2"/>
  <c r="T156" i="2"/>
  <c r="AB155" i="2"/>
  <c r="W155" i="2"/>
  <c r="Y155" i="2" s="1"/>
  <c r="U155" i="2"/>
  <c r="T155" i="2"/>
  <c r="AB154" i="2"/>
  <c r="W154" i="2"/>
  <c r="Y154" i="2" s="1"/>
  <c r="U154" i="2"/>
  <c r="T154" i="2"/>
  <c r="AB153" i="2"/>
  <c r="W153" i="2"/>
  <c r="Y153" i="2" s="1"/>
  <c r="U153" i="2"/>
  <c r="T153" i="2"/>
  <c r="AB152" i="2"/>
  <c r="W152" i="2"/>
  <c r="Y152" i="2" s="1"/>
  <c r="U152" i="2"/>
  <c r="T152" i="2"/>
  <c r="AB151" i="2"/>
  <c r="W151" i="2"/>
  <c r="Y151" i="2" s="1"/>
  <c r="U151" i="2"/>
  <c r="T151" i="2"/>
  <c r="AB150" i="2"/>
  <c r="W150" i="2"/>
  <c r="Y150" i="2" s="1"/>
  <c r="U150" i="2"/>
  <c r="T150" i="2"/>
  <c r="AB149" i="2"/>
  <c r="W149" i="2"/>
  <c r="Y149" i="2" s="1"/>
  <c r="U149" i="2"/>
  <c r="T149" i="2"/>
  <c r="AB148" i="2"/>
  <c r="W148" i="2"/>
  <c r="Y148" i="2" s="1"/>
  <c r="U148" i="2"/>
  <c r="T148" i="2"/>
  <c r="AB147" i="2"/>
  <c r="W147" i="2"/>
  <c r="Y147" i="2" s="1"/>
  <c r="U147" i="2"/>
  <c r="T147" i="2"/>
  <c r="AB146" i="2"/>
  <c r="W146" i="2"/>
  <c r="Y146" i="2" s="1"/>
  <c r="U146" i="2"/>
  <c r="T146" i="2"/>
  <c r="AB145" i="2"/>
  <c r="W145" i="2"/>
  <c r="Y145" i="2" s="1"/>
  <c r="U145" i="2"/>
  <c r="T145" i="2"/>
  <c r="AB144" i="2"/>
  <c r="W144" i="2"/>
  <c r="Y144" i="2" s="1"/>
  <c r="U144" i="2"/>
  <c r="T144" i="2"/>
  <c r="AB143" i="2"/>
  <c r="W143" i="2"/>
  <c r="Y143" i="2" s="1"/>
  <c r="U143" i="2"/>
  <c r="T143" i="2"/>
  <c r="AB142" i="2"/>
  <c r="W142" i="2"/>
  <c r="Y142" i="2" s="1"/>
  <c r="U142" i="2"/>
  <c r="T142" i="2"/>
  <c r="AB141" i="2"/>
  <c r="Y141" i="2"/>
  <c r="W141" i="2"/>
  <c r="U141" i="2"/>
  <c r="T141" i="2"/>
  <c r="AB140" i="2"/>
  <c r="W140" i="2"/>
  <c r="Y140" i="2" s="1"/>
  <c r="U140" i="2"/>
  <c r="T140" i="2"/>
  <c r="AB139" i="2"/>
  <c r="W139" i="2"/>
  <c r="Y139" i="2" s="1"/>
  <c r="U139" i="2"/>
  <c r="T139" i="2"/>
  <c r="AB138" i="2"/>
  <c r="W138" i="2"/>
  <c r="Y138" i="2" s="1"/>
  <c r="U138" i="2"/>
  <c r="T138" i="2"/>
  <c r="AB137" i="2"/>
  <c r="W137" i="2"/>
  <c r="Y137" i="2" s="1"/>
  <c r="U137" i="2"/>
  <c r="T137" i="2"/>
  <c r="AB136" i="2"/>
  <c r="W136" i="2"/>
  <c r="Y136" i="2" s="1"/>
  <c r="U136" i="2"/>
  <c r="T136" i="2"/>
  <c r="AB135" i="2"/>
  <c r="W135" i="2"/>
  <c r="Y135" i="2" s="1"/>
  <c r="U135" i="2"/>
  <c r="T135" i="2"/>
  <c r="AB134" i="2"/>
  <c r="W134" i="2"/>
  <c r="Y134" i="2" s="1"/>
  <c r="U134" i="2"/>
  <c r="T134" i="2"/>
  <c r="AB133" i="2"/>
  <c r="W133" i="2"/>
  <c r="Y133" i="2" s="1"/>
  <c r="U133" i="2"/>
  <c r="T133" i="2"/>
  <c r="AB132" i="2"/>
  <c r="W132" i="2"/>
  <c r="Y132" i="2" s="1"/>
  <c r="U132" i="2"/>
  <c r="T132" i="2"/>
  <c r="AB131" i="2"/>
  <c r="W131" i="2"/>
  <c r="Y131" i="2" s="1"/>
  <c r="U131" i="2"/>
  <c r="T131" i="2"/>
  <c r="AB130" i="2"/>
  <c r="W130" i="2"/>
  <c r="Y130" i="2" s="1"/>
  <c r="U130" i="2"/>
  <c r="T130" i="2"/>
  <c r="AB129" i="2"/>
  <c r="W129" i="2"/>
  <c r="Y129" i="2" s="1"/>
  <c r="U129" i="2"/>
  <c r="T129" i="2"/>
  <c r="AB128" i="2"/>
  <c r="W128" i="2"/>
  <c r="Y128" i="2" s="1"/>
  <c r="U128" i="2"/>
  <c r="T128" i="2"/>
  <c r="AB127" i="2"/>
  <c r="W127" i="2"/>
  <c r="Y127" i="2" s="1"/>
  <c r="U127" i="2"/>
  <c r="T127" i="2"/>
  <c r="AB126" i="2"/>
  <c r="W126" i="2"/>
  <c r="Y126" i="2" s="1"/>
  <c r="U126" i="2"/>
  <c r="T126" i="2"/>
  <c r="AB125" i="2"/>
  <c r="W125" i="2"/>
  <c r="Y125" i="2" s="1"/>
  <c r="U125" i="2"/>
  <c r="T125" i="2"/>
  <c r="AB124" i="2"/>
  <c r="W124" i="2"/>
  <c r="Y124" i="2" s="1"/>
  <c r="U124" i="2"/>
  <c r="T124" i="2"/>
  <c r="AB123" i="2"/>
  <c r="W123" i="2"/>
  <c r="Y123" i="2" s="1"/>
  <c r="U123" i="2"/>
  <c r="T123" i="2"/>
  <c r="AB122" i="2"/>
  <c r="W122" i="2"/>
  <c r="Y122" i="2" s="1"/>
  <c r="U122" i="2"/>
  <c r="T122" i="2"/>
  <c r="AB121" i="2"/>
  <c r="W121" i="2"/>
  <c r="Y121" i="2" s="1"/>
  <c r="U121" i="2"/>
  <c r="T121" i="2"/>
  <c r="AB120" i="2"/>
  <c r="W120" i="2"/>
  <c r="Y120" i="2" s="1"/>
  <c r="U120" i="2"/>
  <c r="T120" i="2"/>
  <c r="AB119" i="2"/>
  <c r="W119" i="2"/>
  <c r="Y119" i="2" s="1"/>
  <c r="U119" i="2"/>
  <c r="T119" i="2"/>
  <c r="AB118" i="2"/>
  <c r="W118" i="2"/>
  <c r="Y118" i="2" s="1"/>
  <c r="U118" i="2"/>
  <c r="T118" i="2"/>
  <c r="AB117" i="2"/>
  <c r="W117" i="2"/>
  <c r="Y117" i="2" s="1"/>
  <c r="U117" i="2"/>
  <c r="T117" i="2"/>
  <c r="AB116" i="2"/>
  <c r="Y116" i="2"/>
  <c r="W116" i="2"/>
  <c r="U116" i="2"/>
  <c r="T116" i="2"/>
  <c r="AB115" i="2"/>
  <c r="W115" i="2"/>
  <c r="Y115" i="2" s="1"/>
  <c r="U115" i="2"/>
  <c r="T115" i="2"/>
  <c r="AB114" i="2"/>
  <c r="W114" i="2"/>
  <c r="Y114" i="2" s="1"/>
  <c r="U114" i="2"/>
  <c r="T114" i="2"/>
  <c r="AB113" i="2"/>
  <c r="W113" i="2"/>
  <c r="Y113" i="2" s="1"/>
  <c r="U113" i="2"/>
  <c r="T113" i="2"/>
  <c r="AB112" i="2"/>
  <c r="W112" i="2"/>
  <c r="Y112" i="2" s="1"/>
  <c r="U112" i="2"/>
  <c r="T112" i="2"/>
  <c r="AB111" i="2"/>
  <c r="W111" i="2"/>
  <c r="Y111" i="2" s="1"/>
  <c r="U111" i="2"/>
  <c r="T111" i="2"/>
  <c r="AB110" i="2"/>
  <c r="W110" i="2"/>
  <c r="Y110" i="2" s="1"/>
  <c r="U110" i="2"/>
  <c r="T110" i="2"/>
  <c r="S110" i="2"/>
  <c r="S111" i="2" s="1"/>
  <c r="AC109" i="2"/>
  <c r="AB109" i="2"/>
  <c r="W109" i="2"/>
  <c r="U109" i="2"/>
  <c r="T109" i="2"/>
  <c r="AC108" i="2"/>
  <c r="AB108" i="2"/>
  <c r="W108" i="2"/>
  <c r="U108" i="2"/>
  <c r="T108" i="2"/>
  <c r="AC107" i="2"/>
  <c r="AB107" i="2"/>
  <c r="W107" i="2"/>
  <c r="U107" i="2"/>
  <c r="T107" i="2"/>
  <c r="AC106" i="2"/>
  <c r="AB106" i="2"/>
  <c r="W106" i="2"/>
  <c r="U106" i="2"/>
  <c r="T106" i="2"/>
  <c r="AC105" i="2"/>
  <c r="AB105" i="2"/>
  <c r="Y105" i="2"/>
  <c r="W105" i="2"/>
  <c r="Z105" i="2" s="1"/>
  <c r="U105" i="2"/>
  <c r="T105" i="2"/>
  <c r="AC104" i="2"/>
  <c r="AB104" i="2"/>
  <c r="W104" i="2"/>
  <c r="U104" i="2"/>
  <c r="T104" i="2"/>
  <c r="AC103" i="2"/>
  <c r="AB103" i="2"/>
  <c r="Y103" i="2"/>
  <c r="W103" i="2"/>
  <c r="Z103" i="2" s="1"/>
  <c r="U103" i="2"/>
  <c r="T103" i="2"/>
  <c r="AC102" i="2"/>
  <c r="AB102" i="2"/>
  <c r="Z102" i="2"/>
  <c r="Y102" i="2"/>
  <c r="W102" i="2"/>
  <c r="U102" i="2"/>
  <c r="T102" i="2"/>
  <c r="AC101" i="2"/>
  <c r="AB101" i="2"/>
  <c r="Z101" i="2"/>
  <c r="Y101" i="2"/>
  <c r="V101" i="2"/>
  <c r="U101" i="2"/>
  <c r="T101" i="2"/>
  <c r="AC100" i="2"/>
  <c r="AB100" i="2"/>
  <c r="Z100" i="2"/>
  <c r="Y100" i="2"/>
  <c r="V100" i="2"/>
  <c r="U100" i="2"/>
  <c r="T100" i="2"/>
  <c r="AB99" i="2"/>
  <c r="Y99" i="2"/>
  <c r="V99" i="2"/>
  <c r="U99" i="2"/>
  <c r="T99" i="2"/>
  <c r="AB98" i="2"/>
  <c r="Y98" i="2"/>
  <c r="V98" i="2"/>
  <c r="U98" i="2"/>
  <c r="T98" i="2"/>
  <c r="AB97" i="2"/>
  <c r="Y97" i="2"/>
  <c r="V97" i="2"/>
  <c r="U97" i="2"/>
  <c r="T97" i="2"/>
  <c r="AB96" i="2"/>
  <c r="Y96" i="2"/>
  <c r="V96" i="2"/>
  <c r="U96" i="2"/>
  <c r="T96" i="2"/>
  <c r="AB95" i="2"/>
  <c r="Y95" i="2"/>
  <c r="V95" i="2"/>
  <c r="U95" i="2"/>
  <c r="T95" i="2"/>
  <c r="AB94" i="2"/>
  <c r="Y94" i="2"/>
  <c r="V94" i="2"/>
  <c r="U94" i="2"/>
  <c r="T94" i="2"/>
  <c r="AB93" i="2"/>
  <c r="Y93" i="2"/>
  <c r="V93" i="2"/>
  <c r="U93" i="2"/>
  <c r="T93" i="2"/>
  <c r="AB92" i="2"/>
  <c r="Y92" i="2"/>
  <c r="V92" i="2"/>
  <c r="U92" i="2"/>
  <c r="T92" i="2"/>
  <c r="AB91" i="2"/>
  <c r="Y91" i="2"/>
  <c r="V91" i="2"/>
  <c r="U91" i="2"/>
  <c r="T91" i="2"/>
  <c r="AB90" i="2"/>
  <c r="Y90" i="2"/>
  <c r="V90" i="2"/>
  <c r="U90" i="2"/>
  <c r="T90" i="2"/>
  <c r="AB89" i="2"/>
  <c r="Y89" i="2"/>
  <c r="V89" i="2"/>
  <c r="U89" i="2"/>
  <c r="T89" i="2"/>
  <c r="AB88" i="2"/>
  <c r="Y88" i="2"/>
  <c r="V88" i="2"/>
  <c r="U88" i="2"/>
  <c r="T88" i="2"/>
  <c r="AB87" i="2"/>
  <c r="Y87" i="2"/>
  <c r="V87" i="2"/>
  <c r="U87" i="2"/>
  <c r="T87" i="2"/>
  <c r="AB86" i="2"/>
  <c r="Y86" i="2"/>
  <c r="V86" i="2"/>
  <c r="U86" i="2"/>
  <c r="T86" i="2"/>
  <c r="AB85" i="2"/>
  <c r="Y85" i="2"/>
  <c r="V85" i="2"/>
  <c r="U85" i="2"/>
  <c r="T85" i="2"/>
  <c r="AB84" i="2"/>
  <c r="Y84" i="2"/>
  <c r="V84" i="2"/>
  <c r="U84" i="2"/>
  <c r="T84" i="2"/>
  <c r="AB83" i="2"/>
  <c r="Y83" i="2"/>
  <c r="V83" i="2"/>
  <c r="U83" i="2"/>
  <c r="T83" i="2"/>
  <c r="AB82" i="2"/>
  <c r="Y82" i="2"/>
  <c r="V82" i="2"/>
  <c r="U82" i="2"/>
  <c r="T82" i="2"/>
  <c r="AB81" i="2"/>
  <c r="Y81" i="2"/>
  <c r="V81" i="2"/>
  <c r="U81" i="2"/>
  <c r="T81" i="2"/>
  <c r="AB80" i="2"/>
  <c r="Y80" i="2"/>
  <c r="V80" i="2"/>
  <c r="U80" i="2"/>
  <c r="T80" i="2"/>
  <c r="AB79" i="2"/>
  <c r="Y79" i="2"/>
  <c r="V79" i="2"/>
  <c r="U79" i="2"/>
  <c r="T79" i="2"/>
  <c r="AB78" i="2"/>
  <c r="Y78" i="2"/>
  <c r="V78" i="2"/>
  <c r="U78" i="2"/>
  <c r="T78" i="2"/>
  <c r="AB77" i="2"/>
  <c r="Y77" i="2"/>
  <c r="V77" i="2"/>
  <c r="U77" i="2"/>
  <c r="T77" i="2"/>
  <c r="AB76" i="2"/>
  <c r="Y76" i="2"/>
  <c r="V76" i="2"/>
  <c r="U76" i="2"/>
  <c r="T76" i="2"/>
  <c r="AB75" i="2"/>
  <c r="Y75" i="2"/>
  <c r="V75" i="2"/>
  <c r="U75" i="2"/>
  <c r="T75" i="2"/>
  <c r="AB74" i="2"/>
  <c r="Y74" i="2"/>
  <c r="V74" i="2"/>
  <c r="U74" i="2"/>
  <c r="T74" i="2"/>
  <c r="AB73" i="2"/>
  <c r="Y73" i="2"/>
  <c r="V73" i="2"/>
  <c r="U73" i="2"/>
  <c r="T73" i="2"/>
  <c r="AB72" i="2"/>
  <c r="Y72" i="2"/>
  <c r="V72" i="2"/>
  <c r="U72" i="2"/>
  <c r="T72" i="2"/>
  <c r="AB71" i="2"/>
  <c r="Y71" i="2"/>
  <c r="V71" i="2"/>
  <c r="U71" i="2"/>
  <c r="T71" i="2"/>
  <c r="AB70" i="2"/>
  <c r="Y70" i="2"/>
  <c r="V70" i="2"/>
  <c r="U70" i="2"/>
  <c r="T70" i="2"/>
  <c r="AB69" i="2"/>
  <c r="Y69" i="2"/>
  <c r="V69" i="2"/>
  <c r="U69" i="2"/>
  <c r="T69" i="2"/>
  <c r="AB68" i="2"/>
  <c r="Y68" i="2"/>
  <c r="V68" i="2"/>
  <c r="U68" i="2"/>
  <c r="T68" i="2"/>
  <c r="AB67" i="2"/>
  <c r="Y67" i="2"/>
  <c r="V67" i="2"/>
  <c r="U67" i="2"/>
  <c r="T67" i="2"/>
  <c r="AB66" i="2"/>
  <c r="Y66" i="2"/>
  <c r="V66" i="2"/>
  <c r="U66" i="2"/>
  <c r="T66" i="2"/>
  <c r="AB65" i="2"/>
  <c r="Y65" i="2"/>
  <c r="V65" i="2"/>
  <c r="U65" i="2"/>
  <c r="T65" i="2"/>
  <c r="AB64" i="2"/>
  <c r="Y64" i="2"/>
  <c r="V64" i="2"/>
  <c r="U64" i="2"/>
  <c r="T64" i="2"/>
  <c r="AB63" i="2"/>
  <c r="Y63" i="2"/>
  <c r="V63" i="2"/>
  <c r="U63" i="2"/>
  <c r="T63" i="2"/>
  <c r="AB62" i="2"/>
  <c r="Y62" i="2"/>
  <c r="V62" i="2"/>
  <c r="U62" i="2"/>
  <c r="T62" i="2"/>
  <c r="AB61" i="2"/>
  <c r="Y61" i="2"/>
  <c r="V61" i="2"/>
  <c r="U61" i="2"/>
  <c r="T61" i="2"/>
  <c r="AB60" i="2"/>
  <c r="Y60" i="2"/>
  <c r="V60" i="2"/>
  <c r="U60" i="2"/>
  <c r="T60" i="2"/>
  <c r="AB59" i="2"/>
  <c r="Y59" i="2"/>
  <c r="V59" i="2"/>
  <c r="U59" i="2"/>
  <c r="T59" i="2"/>
  <c r="AB58" i="2"/>
  <c r="Y58" i="2"/>
  <c r="V58" i="2"/>
  <c r="U58" i="2"/>
  <c r="T58" i="2"/>
  <c r="AB57" i="2"/>
  <c r="Y57" i="2"/>
  <c r="V57" i="2"/>
  <c r="U57" i="2"/>
  <c r="T57" i="2"/>
  <c r="AB56" i="2"/>
  <c r="Y56" i="2"/>
  <c r="V56" i="2"/>
  <c r="U56" i="2"/>
  <c r="T56" i="2"/>
  <c r="AB55" i="2"/>
  <c r="Y55" i="2"/>
  <c r="V55" i="2"/>
  <c r="U55" i="2"/>
  <c r="T55" i="2"/>
  <c r="AB54" i="2"/>
  <c r="Y54" i="2"/>
  <c r="V54" i="2"/>
  <c r="U54" i="2"/>
  <c r="T54" i="2"/>
  <c r="AB53" i="2"/>
  <c r="Y53" i="2"/>
  <c r="V53" i="2"/>
  <c r="U53" i="2"/>
  <c r="T53" i="2"/>
  <c r="AB52" i="2"/>
  <c r="Y52" i="2"/>
  <c r="V52" i="2"/>
  <c r="U52" i="2"/>
  <c r="T52" i="2"/>
  <c r="AB51" i="2"/>
  <c r="Y51" i="2"/>
  <c r="V51" i="2"/>
  <c r="U51" i="2"/>
  <c r="T51" i="2"/>
  <c r="AB50" i="2"/>
  <c r="Y50" i="2"/>
  <c r="V50" i="2"/>
  <c r="U50" i="2"/>
  <c r="T50" i="2"/>
  <c r="AB49" i="2"/>
  <c r="Y49" i="2"/>
  <c r="V49" i="2"/>
  <c r="U49" i="2"/>
  <c r="T49" i="2"/>
  <c r="AB48" i="2"/>
  <c r="Y48" i="2"/>
  <c r="V48" i="2"/>
  <c r="U48" i="2"/>
  <c r="T48" i="2"/>
  <c r="AB47" i="2"/>
  <c r="Y47" i="2"/>
  <c r="V47" i="2"/>
  <c r="U47" i="2"/>
  <c r="T47" i="2"/>
  <c r="AB46" i="2"/>
  <c r="Y46" i="2"/>
  <c r="V46" i="2"/>
  <c r="U46" i="2"/>
  <c r="T46" i="2"/>
  <c r="AB45" i="2"/>
  <c r="Y45" i="2"/>
  <c r="V45" i="2"/>
  <c r="U45" i="2"/>
  <c r="T45" i="2"/>
  <c r="AB44" i="2"/>
  <c r="AC2" i="2" s="1"/>
  <c r="Y44" i="2"/>
  <c r="V44" i="2"/>
  <c r="U44" i="2"/>
  <c r="T44" i="2"/>
  <c r="AB43" i="2"/>
  <c r="Y43" i="2"/>
  <c r="V43" i="2"/>
  <c r="U43" i="2"/>
  <c r="T43" i="2"/>
  <c r="AB42" i="2"/>
  <c r="Y42" i="2"/>
  <c r="V42" i="2"/>
  <c r="U42" i="2"/>
  <c r="T42" i="2"/>
  <c r="AB41" i="2"/>
  <c r="Y41" i="2"/>
  <c r="V41" i="2"/>
  <c r="U41" i="2"/>
  <c r="T41" i="2"/>
  <c r="AB40" i="2"/>
  <c r="Y40" i="2"/>
  <c r="V40" i="2"/>
  <c r="U40" i="2"/>
  <c r="T40" i="2"/>
  <c r="AB39" i="2"/>
  <c r="Y39" i="2"/>
  <c r="V39" i="2"/>
  <c r="U39" i="2"/>
  <c r="T39" i="2"/>
  <c r="AB38" i="2"/>
  <c r="Y38" i="2"/>
  <c r="V38" i="2"/>
  <c r="U38" i="2"/>
  <c r="T38" i="2"/>
  <c r="AB37" i="2"/>
  <c r="Y37" i="2"/>
  <c r="V37" i="2"/>
  <c r="U37" i="2"/>
  <c r="T37" i="2"/>
  <c r="AB36" i="2"/>
  <c r="Y36" i="2"/>
  <c r="V36" i="2"/>
  <c r="U36" i="2"/>
  <c r="T36" i="2"/>
  <c r="AB35" i="2"/>
  <c r="Y35" i="2"/>
  <c r="V35" i="2"/>
  <c r="U35" i="2"/>
  <c r="T35" i="2"/>
  <c r="AB34" i="2"/>
  <c r="Y34" i="2"/>
  <c r="V34" i="2"/>
  <c r="U34" i="2"/>
  <c r="T34" i="2"/>
  <c r="AB33" i="2"/>
  <c r="Y33" i="2"/>
  <c r="V33" i="2"/>
  <c r="U33" i="2"/>
  <c r="T33" i="2"/>
  <c r="AB32" i="2"/>
  <c r="Y32" i="2"/>
  <c r="V32" i="2"/>
  <c r="U32" i="2"/>
  <c r="T32" i="2"/>
  <c r="AB31" i="2"/>
  <c r="Y31" i="2"/>
  <c r="V31" i="2"/>
  <c r="U31" i="2"/>
  <c r="T31" i="2"/>
  <c r="AB30" i="2"/>
  <c r="Y30" i="2"/>
  <c r="V30" i="2"/>
  <c r="U30" i="2"/>
  <c r="T30" i="2"/>
  <c r="AB29" i="2"/>
  <c r="Y29" i="2"/>
  <c r="V29" i="2"/>
  <c r="U29" i="2"/>
  <c r="T29" i="2"/>
  <c r="AB28" i="2"/>
  <c r="Y28" i="2"/>
  <c r="V28" i="2"/>
  <c r="U28" i="2"/>
  <c r="T28" i="2"/>
  <c r="AB27" i="2"/>
  <c r="Y27" i="2"/>
  <c r="V27" i="2"/>
  <c r="U27" i="2"/>
  <c r="T27" i="2"/>
  <c r="AB26" i="2"/>
  <c r="Y26" i="2"/>
  <c r="V26" i="2"/>
  <c r="U26" i="2"/>
  <c r="T26" i="2"/>
  <c r="AB25" i="2"/>
  <c r="Y25" i="2"/>
  <c r="V25" i="2"/>
  <c r="U25" i="2"/>
  <c r="T25" i="2"/>
  <c r="AB24" i="2"/>
  <c r="Y24" i="2"/>
  <c r="V24" i="2"/>
  <c r="U24" i="2"/>
  <c r="T24" i="2"/>
  <c r="AB23" i="2"/>
  <c r="Y23" i="2"/>
  <c r="V23" i="2"/>
  <c r="U23" i="2"/>
  <c r="T23" i="2"/>
  <c r="AB22" i="2"/>
  <c r="Y22" i="2"/>
  <c r="V22" i="2"/>
  <c r="U22" i="2"/>
  <c r="T22" i="2"/>
  <c r="AB21" i="2"/>
  <c r="Y21" i="2"/>
  <c r="V21" i="2"/>
  <c r="U21" i="2"/>
  <c r="T21" i="2"/>
  <c r="AB20" i="2"/>
  <c r="Y20" i="2"/>
  <c r="V20" i="2"/>
  <c r="U20" i="2"/>
  <c r="T20" i="2"/>
  <c r="AB19" i="2"/>
  <c r="Y19" i="2"/>
  <c r="V19" i="2"/>
  <c r="U19" i="2"/>
  <c r="T19" i="2"/>
  <c r="AB18" i="2"/>
  <c r="Y18" i="2"/>
  <c r="V18" i="2"/>
  <c r="U18" i="2"/>
  <c r="T18" i="2"/>
  <c r="AB17" i="2"/>
  <c r="Y17" i="2"/>
  <c r="V17" i="2"/>
  <c r="U17" i="2"/>
  <c r="T17" i="2"/>
  <c r="AB16" i="2"/>
  <c r="Y16" i="2"/>
  <c r="V16" i="2"/>
  <c r="U16" i="2"/>
  <c r="T16" i="2"/>
  <c r="AB15" i="2"/>
  <c r="Y15" i="2"/>
  <c r="V15" i="2"/>
  <c r="U15" i="2"/>
  <c r="T15" i="2"/>
  <c r="AB14" i="2"/>
  <c r="Y14" i="2"/>
  <c r="V14" i="2"/>
  <c r="U14" i="2"/>
  <c r="T14" i="2"/>
  <c r="AB13" i="2"/>
  <c r="Y13" i="2"/>
  <c r="V13" i="2"/>
  <c r="U13" i="2"/>
  <c r="T13" i="2"/>
  <c r="AC4" i="2"/>
  <c r="W4" i="2"/>
  <c r="Y4" i="2" s="1"/>
  <c r="V4" i="2"/>
  <c r="X4" i="2" s="1"/>
  <c r="AC3" i="2"/>
  <c r="W3" i="2"/>
  <c r="Y3" i="2" s="1"/>
  <c r="V3" i="2"/>
  <c r="X3" i="2" s="1"/>
  <c r="V2" i="2"/>
  <c r="W2" i="2" s="1"/>
  <c r="T2" i="2"/>
  <c r="X166" i="1"/>
  <c r="U166" i="1"/>
  <c r="X165" i="1"/>
  <c r="U165" i="1"/>
  <c r="X164" i="1"/>
  <c r="U164" i="1"/>
  <c r="X163" i="1"/>
  <c r="U163" i="1"/>
  <c r="X162" i="1"/>
  <c r="U162" i="1"/>
  <c r="X161" i="1"/>
  <c r="U161" i="1"/>
  <c r="X160" i="1"/>
  <c r="U160" i="1"/>
  <c r="X159" i="1"/>
  <c r="U159" i="1"/>
  <c r="X158" i="1"/>
  <c r="U158" i="1"/>
  <c r="X157" i="1"/>
  <c r="U157" i="1"/>
  <c r="X156" i="1"/>
  <c r="U156" i="1"/>
  <c r="X155" i="1"/>
  <c r="U155" i="1"/>
  <c r="X154" i="1"/>
  <c r="U154" i="1"/>
  <c r="X153" i="1"/>
  <c r="U153" i="1"/>
  <c r="X152" i="1"/>
  <c r="U152" i="1"/>
  <c r="X151" i="1"/>
  <c r="U151" i="1"/>
  <c r="X150" i="1"/>
  <c r="U150" i="1"/>
  <c r="X149" i="1"/>
  <c r="U149" i="1"/>
  <c r="X148" i="1"/>
  <c r="U148" i="1"/>
  <c r="X147" i="1"/>
  <c r="U147" i="1"/>
  <c r="X146" i="1"/>
  <c r="U146" i="1"/>
  <c r="X145" i="1"/>
  <c r="U145" i="1"/>
  <c r="X144" i="1"/>
  <c r="U144" i="1"/>
  <c r="X143" i="1"/>
  <c r="U143" i="1"/>
  <c r="X142" i="1"/>
  <c r="U142" i="1"/>
  <c r="X141" i="1"/>
  <c r="U141" i="1"/>
  <c r="X140" i="1"/>
  <c r="U140" i="1"/>
  <c r="X139" i="1"/>
  <c r="U139" i="1"/>
  <c r="X138" i="1"/>
  <c r="U138" i="1"/>
  <c r="X137" i="1"/>
  <c r="U137" i="1"/>
  <c r="X136" i="1"/>
  <c r="U136" i="1"/>
  <c r="X135" i="1"/>
  <c r="U135" i="1"/>
  <c r="X134" i="1"/>
  <c r="U134" i="1"/>
  <c r="X133" i="1"/>
  <c r="U133" i="1"/>
  <c r="X132" i="1"/>
  <c r="U132" i="1"/>
  <c r="X131" i="1"/>
  <c r="U131" i="1"/>
  <c r="X130" i="1"/>
  <c r="U130" i="1"/>
  <c r="X129" i="1"/>
  <c r="U129" i="1"/>
  <c r="X128" i="1"/>
  <c r="U128" i="1"/>
  <c r="X127" i="1"/>
  <c r="U127" i="1"/>
  <c r="X126" i="1"/>
  <c r="U126" i="1"/>
  <c r="X125" i="1"/>
  <c r="U125" i="1"/>
  <c r="X124" i="1"/>
  <c r="U124" i="1"/>
  <c r="X123" i="1"/>
  <c r="U123" i="1"/>
  <c r="X122" i="1"/>
  <c r="U122" i="1"/>
  <c r="X121" i="1"/>
  <c r="U121" i="1"/>
  <c r="X120" i="1"/>
  <c r="U120" i="1"/>
  <c r="X119" i="1"/>
  <c r="U119" i="1"/>
  <c r="X118" i="1"/>
  <c r="U118" i="1"/>
  <c r="X117" i="1"/>
  <c r="U117" i="1"/>
  <c r="X116" i="1"/>
  <c r="U116" i="1"/>
  <c r="X115" i="1"/>
  <c r="U115" i="1"/>
  <c r="X114" i="1"/>
  <c r="U114" i="1"/>
  <c r="X113" i="1"/>
  <c r="U113" i="1"/>
  <c r="X112" i="1"/>
  <c r="U112" i="1"/>
  <c r="X111" i="1"/>
  <c r="U111" i="1"/>
  <c r="X110" i="1"/>
  <c r="U110" i="1"/>
  <c r="X109" i="1"/>
  <c r="U109" i="1"/>
  <c r="X108" i="1"/>
  <c r="U108" i="1"/>
  <c r="X107" i="1"/>
  <c r="U107" i="1"/>
  <c r="X106" i="1"/>
  <c r="U106" i="1"/>
  <c r="X105" i="1"/>
  <c r="U105" i="1"/>
  <c r="X104" i="1"/>
  <c r="U104" i="1"/>
  <c r="X103" i="1"/>
  <c r="U103" i="1"/>
  <c r="X102" i="1"/>
  <c r="U102" i="1"/>
  <c r="T102" i="1"/>
  <c r="X101" i="1"/>
  <c r="U101" i="1"/>
  <c r="X100" i="1"/>
  <c r="U100" i="1"/>
  <c r="X99" i="1"/>
  <c r="V99" i="1"/>
  <c r="V100" i="1" s="1"/>
  <c r="V101" i="1" s="1"/>
  <c r="V102" i="1" s="1"/>
  <c r="V103" i="1" s="1"/>
  <c r="V104" i="1" s="1"/>
  <c r="V105" i="1" s="1"/>
  <c r="V106" i="1" s="1"/>
  <c r="V107" i="1" s="1"/>
  <c r="V108" i="1" s="1"/>
  <c r="V109" i="1" s="1"/>
  <c r="V110" i="1" s="1"/>
  <c r="V111" i="1" s="1"/>
  <c r="V112" i="1" s="1"/>
  <c r="V113" i="1" s="1"/>
  <c r="V114" i="1" s="1"/>
  <c r="V115" i="1" s="1"/>
  <c r="V116" i="1" s="1"/>
  <c r="V117" i="1" s="1"/>
  <c r="V118" i="1" s="1"/>
  <c r="V119" i="1" s="1"/>
  <c r="V120" i="1" s="1"/>
  <c r="V121" i="1" s="1"/>
  <c r="V122" i="1" s="1"/>
  <c r="V123" i="1" s="1"/>
  <c r="V124" i="1" s="1"/>
  <c r="V125" i="1" s="1"/>
  <c r="V126" i="1" s="1"/>
  <c r="V127" i="1" s="1"/>
  <c r="V128" i="1" s="1"/>
  <c r="V129" i="1" s="1"/>
  <c r="V130" i="1" s="1"/>
  <c r="V131" i="1" s="1"/>
  <c r="V132" i="1" s="1"/>
  <c r="V133" i="1" s="1"/>
  <c r="V134" i="1" s="1"/>
  <c r="V135" i="1" s="1"/>
  <c r="V136" i="1" s="1"/>
  <c r="V137" i="1" s="1"/>
  <c r="V138" i="1" s="1"/>
  <c r="V139" i="1" s="1"/>
  <c r="V140" i="1" s="1"/>
  <c r="V141" i="1" s="1"/>
  <c r="V142" i="1" s="1"/>
  <c r="V143" i="1" s="1"/>
  <c r="V144" i="1" s="1"/>
  <c r="V145" i="1" s="1"/>
  <c r="V146" i="1" s="1"/>
  <c r="V147" i="1" s="1"/>
  <c r="V148" i="1" s="1"/>
  <c r="V149" i="1" s="1"/>
  <c r="V150" i="1" s="1"/>
  <c r="V151" i="1" s="1"/>
  <c r="V152" i="1" s="1"/>
  <c r="V153" i="1" s="1"/>
  <c r="V154" i="1" s="1"/>
  <c r="V155" i="1" s="1"/>
  <c r="V156" i="1" s="1"/>
  <c r="V157" i="1" s="1"/>
  <c r="V158" i="1" s="1"/>
  <c r="V159" i="1" s="1"/>
  <c r="V160" i="1" s="1"/>
  <c r="V161" i="1" s="1"/>
  <c r="V162" i="1" s="1"/>
  <c r="V163" i="1" s="1"/>
  <c r="V164" i="1" s="1"/>
  <c r="V165" i="1" s="1"/>
  <c r="V166" i="1" s="1"/>
  <c r="U99" i="1"/>
  <c r="W98" i="1"/>
  <c r="X98" i="1" s="1"/>
  <c r="U98" i="1"/>
  <c r="G98" i="1"/>
  <c r="H98" i="1" s="1"/>
  <c r="I98" i="1" s="1"/>
  <c r="W97" i="1"/>
  <c r="X97" i="1" s="1"/>
  <c r="U97" i="1"/>
  <c r="G97" i="1"/>
  <c r="H97" i="1" s="1"/>
  <c r="I97" i="1" s="1"/>
  <c r="W96" i="1"/>
  <c r="X96" i="1" s="1"/>
  <c r="U96" i="1"/>
  <c r="G96" i="1"/>
  <c r="H96" i="1" s="1"/>
  <c r="I96" i="1" s="1"/>
  <c r="W95" i="1"/>
  <c r="X95" i="1" s="1"/>
  <c r="V95" i="1"/>
  <c r="U95" i="1"/>
  <c r="G95" i="1"/>
  <c r="H95" i="1" s="1"/>
  <c r="I95" i="1" s="1"/>
  <c r="W94" i="1"/>
  <c r="X94" i="1" s="1"/>
  <c r="U94" i="1"/>
  <c r="G94" i="1"/>
  <c r="H94" i="1" s="1"/>
  <c r="I94" i="1" s="1"/>
  <c r="W93" i="1"/>
  <c r="X93" i="1" s="1"/>
  <c r="U93" i="1"/>
  <c r="G93" i="1"/>
  <c r="H93" i="1" s="1"/>
  <c r="I93" i="1" s="1"/>
  <c r="W92" i="1"/>
  <c r="X92" i="1" s="1"/>
  <c r="U92" i="1"/>
  <c r="G92" i="1"/>
  <c r="H92" i="1" s="1"/>
  <c r="I92" i="1" s="1"/>
  <c r="W91" i="1"/>
  <c r="X91" i="1" s="1"/>
  <c r="U91" i="1"/>
  <c r="G91" i="1"/>
  <c r="H91" i="1" s="1"/>
  <c r="I91" i="1" s="1"/>
  <c r="W90" i="1"/>
  <c r="X90" i="1" s="1"/>
  <c r="U90" i="1"/>
  <c r="G90" i="1"/>
  <c r="H90" i="1" s="1"/>
  <c r="I90" i="1" s="1"/>
  <c r="W89" i="1"/>
  <c r="X89" i="1" s="1"/>
  <c r="U89" i="1"/>
  <c r="T89" i="1"/>
  <c r="G89" i="1"/>
  <c r="H89" i="1" s="1"/>
  <c r="I89" i="1" s="1"/>
  <c r="W88" i="1"/>
  <c r="X88" i="1" s="1"/>
  <c r="U88" i="1"/>
  <c r="G88" i="1"/>
  <c r="H88" i="1" s="1"/>
  <c r="I88" i="1" s="1"/>
  <c r="W87" i="1"/>
  <c r="X87" i="1" s="1"/>
  <c r="U87" i="1"/>
  <c r="G87" i="1"/>
  <c r="H87" i="1" s="1"/>
  <c r="I87" i="1" s="1"/>
  <c r="W86" i="1"/>
  <c r="X86" i="1" s="1"/>
  <c r="U86" i="1"/>
  <c r="G86" i="1"/>
  <c r="H86" i="1" s="1"/>
  <c r="I86" i="1" s="1"/>
  <c r="W85" i="1"/>
  <c r="X85" i="1" s="1"/>
  <c r="U85" i="1"/>
  <c r="G85" i="1"/>
  <c r="H85" i="1" s="1"/>
  <c r="I85" i="1" s="1"/>
  <c r="W84" i="1"/>
  <c r="X84" i="1" s="1"/>
  <c r="U84" i="1"/>
  <c r="G84" i="1"/>
  <c r="H84" i="1" s="1"/>
  <c r="I84" i="1" s="1"/>
  <c r="W83" i="1"/>
  <c r="X83" i="1" s="1"/>
  <c r="U83" i="1"/>
  <c r="G83" i="1"/>
  <c r="H83" i="1" s="1"/>
  <c r="I83" i="1" s="1"/>
  <c r="W82" i="1"/>
  <c r="X82" i="1" s="1"/>
  <c r="U82" i="1"/>
  <c r="G82" i="1"/>
  <c r="H82" i="1" s="1"/>
  <c r="I82" i="1" s="1"/>
  <c r="W81" i="1"/>
  <c r="X81" i="1" s="1"/>
  <c r="U81" i="1"/>
  <c r="G81" i="1"/>
  <c r="H81" i="1" s="1"/>
  <c r="I81" i="1" s="1"/>
  <c r="W80" i="1"/>
  <c r="X80" i="1" s="1"/>
  <c r="U80" i="1"/>
  <c r="G80" i="1"/>
  <c r="H80" i="1" s="1"/>
  <c r="I80" i="1" s="1"/>
  <c r="W79" i="1"/>
  <c r="X79" i="1" s="1"/>
  <c r="U79" i="1"/>
  <c r="G79" i="1"/>
  <c r="H79" i="1" s="1"/>
  <c r="I79" i="1" s="1"/>
  <c r="W78" i="1"/>
  <c r="X78" i="1" s="1"/>
  <c r="U78" i="1"/>
  <c r="G78" i="1"/>
  <c r="H78" i="1" s="1"/>
  <c r="I78" i="1" s="1"/>
  <c r="W77" i="1"/>
  <c r="X77" i="1" s="1"/>
  <c r="U77" i="1"/>
  <c r="G77" i="1"/>
  <c r="H77" i="1" s="1"/>
  <c r="I77" i="1" s="1"/>
  <c r="W76" i="1"/>
  <c r="X76" i="1" s="1"/>
  <c r="U76" i="1"/>
  <c r="T76" i="1"/>
  <c r="G76" i="1"/>
  <c r="H76" i="1" s="1"/>
  <c r="I76" i="1" s="1"/>
  <c r="W75" i="1"/>
  <c r="X75" i="1" s="1"/>
  <c r="U75" i="1"/>
  <c r="W74" i="1"/>
  <c r="X74" i="1" s="1"/>
  <c r="U74" i="1"/>
  <c r="I74" i="1"/>
  <c r="H74" i="1"/>
  <c r="W73" i="1"/>
  <c r="X73" i="1" s="1"/>
  <c r="U73" i="1"/>
  <c r="I73" i="1"/>
  <c r="W72" i="1"/>
  <c r="X72" i="1" s="1"/>
  <c r="U72" i="1"/>
  <c r="W71" i="1"/>
  <c r="X71" i="1" s="1"/>
  <c r="U71" i="1"/>
  <c r="W70" i="1"/>
  <c r="X70" i="1" s="1"/>
  <c r="U70" i="1"/>
  <c r="W69" i="1"/>
  <c r="X69" i="1" s="1"/>
  <c r="U69" i="1"/>
  <c r="W68" i="1"/>
  <c r="X68" i="1" s="1"/>
  <c r="U68" i="1"/>
  <c r="W67" i="1"/>
  <c r="X67" i="1" s="1"/>
  <c r="U67" i="1"/>
  <c r="W66" i="1"/>
  <c r="X66" i="1" s="1"/>
  <c r="U66" i="1"/>
  <c r="W65" i="1"/>
  <c r="X65" i="1" s="1"/>
  <c r="U65" i="1"/>
  <c r="W64" i="1"/>
  <c r="X64" i="1" s="1"/>
  <c r="U64" i="1"/>
  <c r="W63" i="1"/>
  <c r="X63" i="1" s="1"/>
  <c r="U63" i="1"/>
  <c r="T63" i="1"/>
  <c r="W62" i="1"/>
  <c r="X62" i="1" s="1"/>
  <c r="U62" i="1"/>
  <c r="W61" i="1"/>
  <c r="X61" i="1" s="1"/>
  <c r="U61" i="1"/>
  <c r="W60" i="1"/>
  <c r="X60" i="1" s="1"/>
  <c r="U60" i="1"/>
  <c r="W59" i="1"/>
  <c r="X59" i="1" s="1"/>
  <c r="U59" i="1"/>
  <c r="W58" i="1"/>
  <c r="X58" i="1" s="1"/>
  <c r="U58" i="1"/>
  <c r="W57" i="1"/>
  <c r="X57" i="1" s="1"/>
  <c r="U57" i="1"/>
  <c r="W56" i="1"/>
  <c r="X56" i="1" s="1"/>
  <c r="U56" i="1"/>
  <c r="W55" i="1"/>
  <c r="X55" i="1" s="1"/>
  <c r="U55" i="1"/>
  <c r="W54" i="1"/>
  <c r="X54" i="1" s="1"/>
  <c r="U54" i="1"/>
  <c r="W53" i="1"/>
  <c r="X53" i="1" s="1"/>
  <c r="U53" i="1"/>
  <c r="W52" i="1"/>
  <c r="X52" i="1" s="1"/>
  <c r="U52" i="1"/>
  <c r="W51" i="1"/>
  <c r="X51" i="1" s="1"/>
  <c r="U51" i="1"/>
  <c r="W50" i="1"/>
  <c r="X50" i="1" s="1"/>
  <c r="U50" i="1"/>
  <c r="T50" i="1"/>
  <c r="W49" i="1"/>
  <c r="X49" i="1" s="1"/>
  <c r="U49" i="1"/>
  <c r="W48" i="1"/>
  <c r="X48" i="1" s="1"/>
  <c r="U48" i="1"/>
  <c r="W47" i="1"/>
  <c r="X47" i="1" s="1"/>
  <c r="U47" i="1"/>
  <c r="W46" i="1"/>
  <c r="X46" i="1" s="1"/>
  <c r="U46" i="1"/>
  <c r="W45" i="1"/>
  <c r="X45" i="1" s="1"/>
  <c r="U45" i="1"/>
  <c r="W44" i="1"/>
  <c r="X44" i="1" s="1"/>
  <c r="U44" i="1"/>
  <c r="W43" i="1"/>
  <c r="X43" i="1" s="1"/>
  <c r="U43" i="1"/>
  <c r="W42" i="1"/>
  <c r="X42" i="1" s="1"/>
  <c r="U42" i="1"/>
  <c r="W41" i="1"/>
  <c r="X41" i="1" s="1"/>
  <c r="U41" i="1"/>
  <c r="W40" i="1"/>
  <c r="X40" i="1" s="1"/>
  <c r="U40" i="1"/>
  <c r="W39" i="1"/>
  <c r="X39" i="1" s="1"/>
  <c r="U39" i="1"/>
  <c r="W38" i="1"/>
  <c r="X38" i="1" s="1"/>
  <c r="U38" i="1"/>
  <c r="W37" i="1"/>
  <c r="X37" i="1" s="1"/>
  <c r="U37" i="1"/>
  <c r="T37" i="1"/>
  <c r="W36" i="1"/>
  <c r="X36" i="1" s="1"/>
  <c r="U36" i="1"/>
  <c r="W35" i="1"/>
  <c r="X35" i="1" s="1"/>
  <c r="U35" i="1"/>
  <c r="W34" i="1"/>
  <c r="X34" i="1" s="1"/>
  <c r="U34" i="1"/>
  <c r="W33" i="1"/>
  <c r="X33" i="1" s="1"/>
  <c r="U33" i="1"/>
  <c r="W32" i="1"/>
  <c r="X32" i="1" s="1"/>
  <c r="U32" i="1"/>
  <c r="W31" i="1"/>
  <c r="X31" i="1" s="1"/>
  <c r="U31" i="1"/>
  <c r="W30" i="1"/>
  <c r="X30" i="1" s="1"/>
  <c r="U30" i="1"/>
  <c r="W29" i="1"/>
  <c r="X29" i="1" s="1"/>
  <c r="U29" i="1"/>
  <c r="W28" i="1"/>
  <c r="X28" i="1" s="1"/>
  <c r="U28" i="1"/>
  <c r="W27" i="1"/>
  <c r="X27" i="1" s="1"/>
  <c r="U27" i="1"/>
  <c r="W26" i="1"/>
  <c r="X26" i="1" s="1"/>
  <c r="U26" i="1"/>
  <c r="W25" i="1"/>
  <c r="X25" i="1" s="1"/>
  <c r="U25" i="1"/>
  <c r="W24" i="1"/>
  <c r="X24" i="1" s="1"/>
  <c r="U24" i="1"/>
  <c r="T24" i="1"/>
  <c r="W23" i="1"/>
  <c r="X23" i="1" s="1"/>
  <c r="U23" i="1"/>
  <c r="W22" i="1"/>
  <c r="X22" i="1" s="1"/>
  <c r="U22" i="1"/>
  <c r="W21" i="1"/>
  <c r="X21" i="1" s="1"/>
  <c r="U21" i="1"/>
  <c r="W20" i="1"/>
  <c r="X20" i="1" s="1"/>
  <c r="U20" i="1"/>
  <c r="W19" i="1"/>
  <c r="X19" i="1" s="1"/>
  <c r="U19" i="1"/>
  <c r="W18" i="1"/>
  <c r="X18" i="1" s="1"/>
  <c r="U18" i="1"/>
  <c r="W17" i="1"/>
  <c r="X17" i="1" s="1"/>
  <c r="U17" i="1"/>
  <c r="W16" i="1"/>
  <c r="X16" i="1" s="1"/>
  <c r="U16" i="1"/>
  <c r="W15" i="1"/>
  <c r="X15" i="1" s="1"/>
  <c r="U15" i="1"/>
  <c r="W14" i="1"/>
  <c r="X14" i="1" s="1"/>
  <c r="U14" i="1"/>
  <c r="W13" i="1"/>
  <c r="X13" i="1" s="1"/>
  <c r="U13" i="1"/>
  <c r="W12" i="1"/>
  <c r="X12" i="1" s="1"/>
  <c r="U12" i="1"/>
  <c r="W11" i="1"/>
  <c r="X11" i="1" s="1"/>
  <c r="U11" i="1"/>
  <c r="T11" i="1"/>
  <c r="V7" i="1"/>
  <c r="V6" i="1"/>
  <c r="X4" i="1"/>
  <c r="X3" i="1"/>
  <c r="X2" i="1"/>
  <c r="W2" i="1"/>
  <c r="S112" i="2" l="1"/>
  <c r="Z109" i="2"/>
  <c r="Y109" i="2"/>
  <c r="Y108" i="2"/>
  <c r="Z108" i="2"/>
  <c r="Y107" i="2"/>
  <c r="Z107" i="2"/>
  <c r="Y106" i="2"/>
  <c r="Z106" i="2"/>
  <c r="Z104" i="2"/>
  <c r="Y104" i="2"/>
  <c r="AD2" i="2"/>
  <c r="Z2" i="2" s="1"/>
  <c r="AE2" i="2"/>
  <c r="Y2" i="2"/>
  <c r="AA2" i="2" s="1"/>
  <c r="AE4" i="2"/>
  <c r="AA4" i="2"/>
  <c r="AA3" i="2"/>
  <c r="AE3" i="2"/>
  <c r="X6" i="1"/>
  <c r="X7" i="1"/>
  <c r="W166" i="1"/>
  <c r="W165" i="1"/>
  <c r="W164" i="1"/>
  <c r="W163" i="1"/>
  <c r="W162" i="1"/>
  <c r="W161" i="1"/>
  <c r="W160" i="1"/>
  <c r="W159" i="1"/>
  <c r="W158" i="1"/>
  <c r="W157" i="1"/>
  <c r="W156" i="1"/>
  <c r="W155" i="1"/>
  <c r="W154" i="1"/>
  <c r="W153" i="1"/>
  <c r="W152" i="1"/>
  <c r="W151" i="1"/>
  <c r="W150" i="1"/>
  <c r="W149" i="1"/>
  <c r="W148" i="1"/>
  <c r="W147" i="1"/>
  <c r="W146" i="1"/>
  <c r="W145" i="1"/>
  <c r="W144" i="1"/>
  <c r="W143" i="1"/>
  <c r="W142" i="1"/>
  <c r="W141" i="1"/>
  <c r="W140" i="1"/>
  <c r="W139" i="1"/>
  <c r="W138" i="1"/>
  <c r="W137" i="1"/>
  <c r="W136" i="1"/>
  <c r="W135" i="1"/>
  <c r="W134" i="1"/>
  <c r="W133" i="1"/>
  <c r="W132" i="1"/>
  <c r="W131" i="1"/>
  <c r="W130" i="1"/>
  <c r="W129" i="1"/>
  <c r="W128" i="1"/>
  <c r="W127" i="1"/>
  <c r="W126" i="1"/>
  <c r="W125" i="1"/>
  <c r="W124" i="1"/>
  <c r="W123" i="1"/>
  <c r="W122" i="1"/>
  <c r="W121" i="1"/>
  <c r="W120" i="1"/>
  <c r="W119" i="1"/>
  <c r="W118" i="1"/>
  <c r="W117" i="1"/>
  <c r="W116" i="1"/>
  <c r="W115" i="1"/>
  <c r="W4" i="1" s="1"/>
  <c r="W114" i="1"/>
  <c r="W113" i="1"/>
  <c r="W112" i="1"/>
  <c r="W111" i="1"/>
  <c r="W110" i="1"/>
  <c r="W109" i="1"/>
  <c r="W108" i="1"/>
  <c r="W107" i="1"/>
  <c r="W106" i="1"/>
  <c r="W105" i="1"/>
  <c r="W104" i="1"/>
  <c r="W103" i="1"/>
  <c r="W102" i="1"/>
  <c r="W101" i="1"/>
  <c r="W100" i="1"/>
  <c r="W99" i="1"/>
  <c r="W3" i="1" s="1"/>
  <c r="W6" i="1" s="1"/>
  <c r="S113" i="2" l="1"/>
  <c r="S114" i="2" s="1"/>
  <c r="S115" i="2" s="1"/>
  <c r="S116" i="2" s="1"/>
  <c r="S117" i="2" s="1"/>
  <c r="S118" i="2" s="1"/>
  <c r="S119" i="2" s="1"/>
  <c r="S120" i="2" s="1"/>
  <c r="S121" i="2" s="1"/>
  <c r="S122" i="2" s="1"/>
  <c r="S123" i="2" s="1"/>
  <c r="S124" i="2" s="1"/>
  <c r="S125" i="2" s="1"/>
  <c r="S126" i="2" s="1"/>
  <c r="S127" i="2" s="1"/>
  <c r="S128" i="2" s="1"/>
  <c r="S129" i="2" s="1"/>
  <c r="S130" i="2" s="1"/>
  <c r="S131" i="2" s="1"/>
  <c r="S132" i="2" s="1"/>
  <c r="S133" i="2" s="1"/>
  <c r="S134" i="2" s="1"/>
  <c r="S135" i="2" s="1"/>
  <c r="S136" i="2" s="1"/>
  <c r="S137" i="2" s="1"/>
  <c r="S138" i="2" s="1"/>
  <c r="S139" i="2" s="1"/>
  <c r="S140" i="2" s="1"/>
  <c r="S141" i="2" s="1"/>
  <c r="S142" i="2" s="1"/>
  <c r="S143" i="2" s="1"/>
  <c r="S144" i="2" s="1"/>
  <c r="S145" i="2" s="1"/>
  <c r="S146" i="2" s="1"/>
  <c r="S147" i="2" s="1"/>
  <c r="S148" i="2" s="1"/>
  <c r="S149" i="2" s="1"/>
  <c r="S150" i="2" s="1"/>
  <c r="S151" i="2" s="1"/>
  <c r="S152" i="2" s="1"/>
  <c r="S153" i="2" s="1"/>
  <c r="S154" i="2" s="1"/>
  <c r="S155" i="2" s="1"/>
  <c r="S156" i="2" s="1"/>
  <c r="S157" i="2" s="1"/>
  <c r="S158" i="2" s="1"/>
  <c r="S159" i="2" s="1"/>
  <c r="S160" i="2" s="1"/>
  <c r="S161" i="2" s="1"/>
  <c r="S162" i="2" s="1"/>
  <c r="S163" i="2" s="1"/>
  <c r="S164" i="2" s="1"/>
  <c r="S165" i="2" s="1"/>
  <c r="S166" i="2" s="1"/>
  <c r="S167" i="2" s="1"/>
  <c r="S168" i="2" s="1"/>
  <c r="S108" i="2"/>
  <c r="W7" i="1"/>
  <c r="AC167" i="2" l="1"/>
  <c r="Z167" i="2" s="1"/>
  <c r="AC166" i="2"/>
  <c r="Z166" i="2" s="1"/>
  <c r="AC164" i="2"/>
  <c r="Z164" i="2" s="1"/>
  <c r="AC160" i="2"/>
  <c r="Z160" i="2" s="1"/>
  <c r="AC159" i="2"/>
  <c r="Z159" i="2" s="1"/>
  <c r="AC154" i="2"/>
  <c r="Z154" i="2" s="1"/>
  <c r="AC153" i="2"/>
  <c r="Z153" i="2" s="1"/>
  <c r="AC151" i="2"/>
  <c r="Z151" i="2" s="1"/>
  <c r="AC149" i="2"/>
  <c r="Z149" i="2" s="1"/>
  <c r="AC144" i="2"/>
  <c r="Z144" i="2" s="1"/>
  <c r="AC142" i="2"/>
  <c r="Z142" i="2" s="1"/>
  <c r="AC141" i="2"/>
  <c r="Z141" i="2" s="1"/>
  <c r="AC140" i="2"/>
  <c r="Z140" i="2" s="1"/>
  <c r="AC137" i="2"/>
  <c r="Z137" i="2" s="1"/>
  <c r="AC136" i="2"/>
  <c r="Z136" i="2" s="1"/>
  <c r="AC117" i="2"/>
  <c r="AC114" i="2"/>
  <c r="Z114" i="2" s="1"/>
  <c r="AC110" i="2"/>
  <c r="AC134" i="2"/>
  <c r="Z134" i="2" s="1"/>
  <c r="AC168" i="2"/>
  <c r="Z168" i="2" s="1"/>
  <c r="AC165" i="2"/>
  <c r="Z165" i="2" s="1"/>
  <c r="AC163" i="2"/>
  <c r="Z163" i="2" s="1"/>
  <c r="AC162" i="2"/>
  <c r="Z162" i="2" s="1"/>
  <c r="AC161" i="2"/>
  <c r="Z161" i="2" s="1"/>
  <c r="AC158" i="2"/>
  <c r="Z158" i="2" s="1"/>
  <c r="AC156" i="2"/>
  <c r="Z156" i="2" s="1"/>
  <c r="AC155" i="2"/>
  <c r="Z155" i="2" s="1"/>
  <c r="AC152" i="2"/>
  <c r="Z152" i="2" s="1"/>
  <c r="AC148" i="2"/>
  <c r="Z148" i="2" s="1"/>
  <c r="AC147" i="2"/>
  <c r="Z147" i="2" s="1"/>
  <c r="AC139" i="2"/>
  <c r="Z139" i="2" s="1"/>
  <c r="AC118" i="2"/>
  <c r="Z118" i="2" s="1"/>
  <c r="AC113" i="2"/>
  <c r="Z113" i="2" s="1"/>
  <c r="AC112" i="2"/>
  <c r="Z112" i="2" s="1"/>
  <c r="AC133" i="2"/>
  <c r="Z133" i="2" s="1"/>
  <c r="AC132" i="2"/>
  <c r="Z132" i="2" s="1"/>
  <c r="AC131" i="2"/>
  <c r="Z131" i="2" s="1"/>
  <c r="AC130" i="2"/>
  <c r="Z130" i="2" s="1"/>
  <c r="AC129" i="2"/>
  <c r="Z129" i="2" s="1"/>
  <c r="AC128" i="2"/>
  <c r="Z128" i="2" s="1"/>
  <c r="AC127" i="2"/>
  <c r="Z127" i="2" s="1"/>
  <c r="AC126" i="2"/>
  <c r="Z126" i="2" s="1"/>
  <c r="AC125" i="2"/>
  <c r="Z125" i="2" s="1"/>
  <c r="AC124" i="2"/>
  <c r="Z124" i="2" s="1"/>
  <c r="AC123" i="2"/>
  <c r="Z123" i="2" s="1"/>
  <c r="AC122" i="2"/>
  <c r="Z122" i="2" s="1"/>
  <c r="AC121" i="2"/>
  <c r="Z121" i="2" s="1"/>
  <c r="AC120" i="2"/>
  <c r="Z120" i="2" s="1"/>
  <c r="AC119" i="2"/>
  <c r="Z119" i="2" s="1"/>
  <c r="AC157" i="2"/>
  <c r="Z157" i="2" s="1"/>
  <c r="AC150" i="2"/>
  <c r="Z150" i="2" s="1"/>
  <c r="AC145" i="2"/>
  <c r="Z145" i="2" s="1"/>
  <c r="AC115" i="2"/>
  <c r="Z115" i="2" s="1"/>
  <c r="AC146" i="2"/>
  <c r="Z146" i="2" s="1"/>
  <c r="AC143" i="2"/>
  <c r="Z143" i="2" s="1"/>
  <c r="AC138" i="2"/>
  <c r="Z138" i="2" s="1"/>
  <c r="AC135" i="2"/>
  <c r="Z135" i="2" s="1"/>
  <c r="AC116" i="2"/>
  <c r="Z116" i="2" s="1"/>
  <c r="AC111" i="2"/>
  <c r="Z111" i="2" s="1"/>
  <c r="Z117" i="2" l="1"/>
  <c r="AD4" i="2"/>
  <c r="Z110" i="2"/>
  <c r="AD3" i="2"/>
  <c r="AF4" i="2" l="1"/>
  <c r="Z4" i="2"/>
  <c r="AB4" i="2" s="1"/>
  <c r="AF3" i="2"/>
  <c r="Z3" i="2"/>
  <c r="AB3" i="2" s="1"/>
</calcChain>
</file>

<file path=xl/sharedStrings.xml><?xml version="1.0" encoding="utf-8"?>
<sst xmlns="http://schemas.openxmlformats.org/spreadsheetml/2006/main" count="1012" uniqueCount="381">
  <si>
    <t>Scenario</t>
  </si>
  <si>
    <t>Model</t>
  </si>
  <si>
    <t>FY27 Pass 2</t>
  </si>
  <si>
    <t>Fiscal Year</t>
  </si>
  <si>
    <t>FY25</t>
  </si>
  <si>
    <t>Prod Bu Type</t>
  </si>
  <si>
    <t>Enterprise Solution Group PBU</t>
  </si>
  <si>
    <t>FY26</t>
  </si>
  <si>
    <t>Julius</t>
  </si>
  <si>
    <t>Unused 2H AOP Forecast</t>
  </si>
  <si>
    <t>Gsd LOB BU</t>
  </si>
  <si>
    <t>POWEREDGE - ESG</t>
  </si>
  <si>
    <t>FY27</t>
  </si>
  <si>
    <t>Product Business Unit Type</t>
  </si>
  <si>
    <t>Region Desc</t>
  </si>
  <si>
    <t>All</t>
  </si>
  <si>
    <t>Global LOB Name</t>
  </si>
  <si>
    <t>POWEREDGE</t>
  </si>
  <si>
    <t>GSD Geo</t>
  </si>
  <si>
    <t>Y/Y</t>
  </si>
  <si>
    <t>Dell Territory</t>
  </si>
  <si>
    <t>(Multiple Items)</t>
  </si>
  <si>
    <t>ASU TYPE</t>
  </si>
  <si>
    <t>Ships Field Adj</t>
  </si>
  <si>
    <t>Contract Type</t>
  </si>
  <si>
    <t>Fiscal Quarter</t>
  </si>
  <si>
    <t>Fiscal Week</t>
  </si>
  <si>
    <t>Weekly Field ASUs (ALL)</t>
  </si>
  <si>
    <t>Weekly Field Expiring ASUs (ALL)</t>
  </si>
  <si>
    <t>Weekly Field Shipped ASUs (ALL)</t>
  </si>
  <si>
    <t>Weekly Field ASU Decline</t>
  </si>
  <si>
    <t>ASU - Ext + New</t>
  </si>
  <si>
    <t>APOS</t>
  </si>
  <si>
    <t>Expiring</t>
  </si>
  <si>
    <t>ASU Field</t>
  </si>
  <si>
    <t>New Contract</t>
  </si>
  <si>
    <t>APOS Renewal</t>
  </si>
  <si>
    <t>FQ</t>
  </si>
  <si>
    <t>FW</t>
  </si>
  <si>
    <t>Count Wk</t>
  </si>
  <si>
    <t>Adj</t>
  </si>
  <si>
    <t>2025-Q2</t>
  </si>
  <si>
    <t>2027-W49</t>
  </si>
  <si>
    <t>FY2027W02</t>
  </si>
  <si>
    <t>FY2026W44</t>
  </si>
  <si>
    <t>2027-Q4</t>
  </si>
  <si>
    <t>2026-W04</t>
  </si>
  <si>
    <t>FY2026W28</t>
  </si>
  <si>
    <t>FY2027W26</t>
  </si>
  <si>
    <t>2026-Q1</t>
  </si>
  <si>
    <t>2025-W05</t>
  </si>
  <si>
    <t>FY2025W32</t>
  </si>
  <si>
    <t>FY2026W38</t>
  </si>
  <si>
    <t>2026-Q4</t>
  </si>
  <si>
    <t>2025-W23</t>
  </si>
  <si>
    <t>FY2026W15</t>
  </si>
  <si>
    <t>2025-W38</t>
  </si>
  <si>
    <t>FY2027W47</t>
  </si>
  <si>
    <t>FY2025W04</t>
  </si>
  <si>
    <t>2026-Q3</t>
  </si>
  <si>
    <t>2026-W08</t>
  </si>
  <si>
    <t>FY2026W43</t>
  </si>
  <si>
    <t>FY2027W24</t>
  </si>
  <si>
    <t>2026-Q2</t>
  </si>
  <si>
    <t>2027-W51</t>
  </si>
  <si>
    <t>FY2026W09</t>
  </si>
  <si>
    <t>FY2025W03</t>
  </si>
  <si>
    <t>2026-W30</t>
  </si>
  <si>
    <t>FY2027W50</t>
  </si>
  <si>
    <t>FY2026W18</t>
  </si>
  <si>
    <t>2025-W12</t>
  </si>
  <si>
    <t>FY2026W08</t>
  </si>
  <si>
    <t>FY2027W49</t>
  </si>
  <si>
    <t>2025-W47</t>
  </si>
  <si>
    <t>FY2027W38</t>
  </si>
  <si>
    <t>FY2027W41</t>
  </si>
  <si>
    <t>FY2027W14</t>
  </si>
  <si>
    <t>FY2025W02</t>
  </si>
  <si>
    <t>2027-Q1</t>
  </si>
  <si>
    <t>2026-W02</t>
  </si>
  <si>
    <t>FY2027W05</t>
  </si>
  <si>
    <t>FY2025W15</t>
  </si>
  <si>
    <t>2027-W31</t>
  </si>
  <si>
    <t>FY2026W35</t>
  </si>
  <si>
    <t>FY2025W45</t>
  </si>
  <si>
    <t>2026-W19</t>
  </si>
  <si>
    <t>FY2026W10</t>
  </si>
  <si>
    <t>2026-W01</t>
  </si>
  <si>
    <t>FY2025W48</t>
  </si>
  <si>
    <t>FY2025W34</t>
  </si>
  <si>
    <t>2027-W52</t>
  </si>
  <si>
    <t>FY2027W09</t>
  </si>
  <si>
    <t>FY2025W27</t>
  </si>
  <si>
    <t>2026-W26</t>
  </si>
  <si>
    <t>FY2025W51</t>
  </si>
  <si>
    <t>FY2025W29</t>
  </si>
  <si>
    <t>2026-W39</t>
  </si>
  <si>
    <t>FY2027W20</t>
  </si>
  <si>
    <t>FY2027W23</t>
  </si>
  <si>
    <t>2025-Q4</t>
  </si>
  <si>
    <t>2027-W22</t>
  </si>
  <si>
    <t>FY2027W11</t>
  </si>
  <si>
    <t>2025-W43</t>
  </si>
  <si>
    <t>FY2027W07</t>
  </si>
  <si>
    <t>FY2027W17</t>
  </si>
  <si>
    <t>2025-Q1</t>
  </si>
  <si>
    <t>2025-W46</t>
  </si>
  <si>
    <t>FY2026W48</t>
  </si>
  <si>
    <t>FY2025W05</t>
  </si>
  <si>
    <t>2025-Q3</t>
  </si>
  <si>
    <t>2027-W15</t>
  </si>
  <si>
    <t>FY2026W46</t>
  </si>
  <si>
    <t>FY2026W03</t>
  </si>
  <si>
    <t>2026-W43</t>
  </si>
  <si>
    <t>FY2026W05</t>
  </si>
  <si>
    <t>FY2025W22</t>
  </si>
  <si>
    <t>2025-W35</t>
  </si>
  <si>
    <t>FY2027W40</t>
  </si>
  <si>
    <t>2026-W27</t>
  </si>
  <si>
    <t>FY2025W38</t>
  </si>
  <si>
    <t>2027-W50</t>
  </si>
  <si>
    <t>FY2026W50</t>
  </si>
  <si>
    <t>2026-W34</t>
  </si>
  <si>
    <t>FY2025W39</t>
  </si>
  <si>
    <t>FY2027W27</t>
  </si>
  <si>
    <t>2027-Q2</t>
  </si>
  <si>
    <t>2026-W18</t>
  </si>
  <si>
    <t>FY2025W20</t>
  </si>
  <si>
    <t>FY2025W42</t>
  </si>
  <si>
    <t>2027-W10</t>
  </si>
  <si>
    <t>FY2025W12</t>
  </si>
  <si>
    <t>FY2025W47</t>
  </si>
  <si>
    <t>2025-W11</t>
  </si>
  <si>
    <t>FY2027W21</t>
  </si>
  <si>
    <t>FY2026W34</t>
  </si>
  <si>
    <t>FY2026W52</t>
  </si>
  <si>
    <t>FY2025W50</t>
  </si>
  <si>
    <t>2025-W49</t>
  </si>
  <si>
    <t>FY2026W47</t>
  </si>
  <si>
    <t>FY2027W15</t>
  </si>
  <si>
    <t>2025-W19</t>
  </si>
  <si>
    <t>FY2025W24</t>
  </si>
  <si>
    <t>FY2027W33</t>
  </si>
  <si>
    <t>2027-W38</t>
  </si>
  <si>
    <t>FY2025W52</t>
  </si>
  <si>
    <t>2026-W12</t>
  </si>
  <si>
    <t>FY2027W08</t>
  </si>
  <si>
    <t>FY2026W41</t>
  </si>
  <si>
    <t>FY2025W07</t>
  </si>
  <si>
    <t>FY2026W40</t>
  </si>
  <si>
    <t>2026-W23</t>
  </si>
  <si>
    <t>FY2027W12</t>
  </si>
  <si>
    <t>FY2027W52</t>
  </si>
  <si>
    <t>2027-W02</t>
  </si>
  <si>
    <t>FY2025W17</t>
  </si>
  <si>
    <t>2025-W02</t>
  </si>
  <si>
    <t>FY2026W30</t>
  </si>
  <si>
    <t>2026-W44</t>
  </si>
  <si>
    <t>FY2026W20</t>
  </si>
  <si>
    <t>2026-W10</t>
  </si>
  <si>
    <t>2027-W39</t>
  </si>
  <si>
    <t>FY2026W37</t>
  </si>
  <si>
    <t>FY2026W23</t>
  </si>
  <si>
    <t>2026-W09</t>
  </si>
  <si>
    <t>FY2027W48</t>
  </si>
  <si>
    <t>FY2025W18</t>
  </si>
  <si>
    <t>2027-W29</t>
  </si>
  <si>
    <t>FY2025W35</t>
  </si>
  <si>
    <t>FY2027W01</t>
  </si>
  <si>
    <t>2027-W48</t>
  </si>
  <si>
    <t>FY2026W14</t>
  </si>
  <si>
    <t>2027-W34</t>
  </si>
  <si>
    <t>FY2026W04</t>
  </si>
  <si>
    <t>2027-W43</t>
  </si>
  <si>
    <t>FY2026W11</t>
  </si>
  <si>
    <t>2027-W07</t>
  </si>
  <si>
    <t>FY2027W36</t>
  </si>
  <si>
    <t>FY2025W23</t>
  </si>
  <si>
    <t>2025-W03</t>
  </si>
  <si>
    <t>FY2027W25</t>
  </si>
  <si>
    <t>2027-W16</t>
  </si>
  <si>
    <t>2026-W28</t>
  </si>
  <si>
    <t>FY2027W39</t>
  </si>
  <si>
    <t>2026-W29</t>
  </si>
  <si>
    <t>FY2026W49</t>
  </si>
  <si>
    <t>FY2026W45</t>
  </si>
  <si>
    <t>FY2026W42</t>
  </si>
  <si>
    <t>2026-W31</t>
  </si>
  <si>
    <t>FY2026W29</t>
  </si>
  <si>
    <t>FY2025W43</t>
  </si>
  <si>
    <t>2027-W06</t>
  </si>
  <si>
    <t>2025-W08</t>
  </si>
  <si>
    <t>FY2026W24</t>
  </si>
  <si>
    <t>2026-W42</t>
  </si>
  <si>
    <t>FY2025W13</t>
  </si>
  <si>
    <t>FY2026W01</t>
  </si>
  <si>
    <t>FY2025W26</t>
  </si>
  <si>
    <t>FY2025W14</t>
  </si>
  <si>
    <t>2025-W31</t>
  </si>
  <si>
    <t>FY2025W33</t>
  </si>
  <si>
    <t>2027-Q3</t>
  </si>
  <si>
    <t>2025-W30</t>
  </si>
  <si>
    <t>FY2026W31</t>
  </si>
  <si>
    <t>2025-W10</t>
  </si>
  <si>
    <t>FY2026W27</t>
  </si>
  <si>
    <t>2025-W45</t>
  </si>
  <si>
    <t>FY2027W04</t>
  </si>
  <si>
    <t>FY2025W06</t>
  </si>
  <si>
    <t>2027-W26</t>
  </si>
  <si>
    <t>FY2027W03</t>
  </si>
  <si>
    <t>2027-W04</t>
  </si>
  <si>
    <t>FY2027W37</t>
  </si>
  <si>
    <t>FY2026W26</t>
  </si>
  <si>
    <t>2027-W21</t>
  </si>
  <si>
    <t>FY2027W29</t>
  </si>
  <si>
    <t>FY2026W06</t>
  </si>
  <si>
    <t>2026-W07</t>
  </si>
  <si>
    <t>FY2027W44</t>
  </si>
  <si>
    <t>2026-W17</t>
  </si>
  <si>
    <t>FY2025W41</t>
  </si>
  <si>
    <t>FY2025W31</t>
  </si>
  <si>
    <t>2025-W17</t>
  </si>
  <si>
    <t>FY2027W10</t>
  </si>
  <si>
    <t>2027-W25</t>
  </si>
  <si>
    <t>FY2027W42</t>
  </si>
  <si>
    <t>BTC</t>
  </si>
  <si>
    <t>2026-W50</t>
  </si>
  <si>
    <t>FY2025W08</t>
  </si>
  <si>
    <t>FY2026W21</t>
  </si>
  <si>
    <t>FY2025W30</t>
  </si>
  <si>
    <t>2025-W22</t>
  </si>
  <si>
    <t>2025-W15</t>
  </si>
  <si>
    <t>FY2027W31</t>
  </si>
  <si>
    <t>PV New</t>
  </si>
  <si>
    <t>PV APOS</t>
  </si>
  <si>
    <t>2027-W18</t>
  </si>
  <si>
    <t>FY2025W37</t>
  </si>
  <si>
    <t>FY2027W16</t>
  </si>
  <si>
    <t>2026-W22</t>
  </si>
  <si>
    <t>FY2025W25</t>
  </si>
  <si>
    <t>FY2026W16</t>
  </si>
  <si>
    <t>FY2025W21</t>
  </si>
  <si>
    <t>2026-W35</t>
  </si>
  <si>
    <t>2027-W03</t>
  </si>
  <si>
    <t>FY2027W06</t>
  </si>
  <si>
    <t>2026-W36</t>
  </si>
  <si>
    <t>2027-W40</t>
  </si>
  <si>
    <t>FY2026W32</t>
  </si>
  <si>
    <t>FY2027W43</t>
  </si>
  <si>
    <t>2025-W40</t>
  </si>
  <si>
    <t>FY2026W39</t>
  </si>
  <si>
    <t>FY2026W25</t>
  </si>
  <si>
    <t>2027-W41</t>
  </si>
  <si>
    <t>2026-W47</t>
  </si>
  <si>
    <t>FY2026W07</t>
  </si>
  <si>
    <t>FY2027W19</t>
  </si>
  <si>
    <t>2025-W14</t>
  </si>
  <si>
    <t>FY2027W13</t>
  </si>
  <si>
    <t>2026-W25</t>
  </si>
  <si>
    <t>FY2025W09</t>
  </si>
  <si>
    <t>2026-W16</t>
  </si>
  <si>
    <t>2025-W24</t>
  </si>
  <si>
    <t>FY2025W16</t>
  </si>
  <si>
    <t>FY2027W28</t>
  </si>
  <si>
    <t>2027-W44</t>
  </si>
  <si>
    <t>2025-W27</t>
  </si>
  <si>
    <t>FY2027W22</t>
  </si>
  <si>
    <t>FY2027W18</t>
  </si>
  <si>
    <t>2025-W09</t>
  </si>
  <si>
    <t>2026-W45</t>
  </si>
  <si>
    <t>2027-W11</t>
  </si>
  <si>
    <t>FY2025W44</t>
  </si>
  <si>
    <t>2025-W32</t>
  </si>
  <si>
    <t>2026-W14</t>
  </si>
  <si>
    <t>2027-W46</t>
  </si>
  <si>
    <t>2026-W52</t>
  </si>
  <si>
    <t>FY2025W49</t>
  </si>
  <si>
    <t>2027-W17</t>
  </si>
  <si>
    <t>2027-W45</t>
  </si>
  <si>
    <t>FY2025W28</t>
  </si>
  <si>
    <t>FY2027W46</t>
  </si>
  <si>
    <t>2026-W37</t>
  </si>
  <si>
    <t>2025-W41</t>
  </si>
  <si>
    <t>2027-W47</t>
  </si>
  <si>
    <t>2026-W11</t>
  </si>
  <si>
    <t>FY2027W51</t>
  </si>
  <si>
    <t>2027-W09</t>
  </si>
  <si>
    <t>ASU End</t>
  </si>
  <si>
    <t>ASU-Avg</t>
  </si>
  <si>
    <t>MDR DS</t>
  </si>
  <si>
    <t>MDR Adj</t>
  </si>
  <si>
    <t>MDR Target</t>
  </si>
  <si>
    <t>Delta</t>
  </si>
  <si>
    <t>Disp DS</t>
  </si>
  <si>
    <t>Disp Adj</t>
  </si>
  <si>
    <t>Disp Target</t>
  </si>
  <si>
    <t>n/a</t>
  </si>
  <si>
    <t>AOP Forecast</t>
  </si>
  <si>
    <t>Region Name</t>
  </si>
  <si>
    <t>CORE_UPSELL</t>
  </si>
  <si>
    <t>Work Order Type</t>
  </si>
  <si>
    <t>Break Fix</t>
  </si>
  <si>
    <t>CORE UPSELL</t>
  </si>
  <si>
    <t>FQM Flag</t>
  </si>
  <si>
    <t>GCFA TYPE</t>
  </si>
  <si>
    <t>NonGCFA</t>
  </si>
  <si>
    <t>Dim Service Type New</t>
  </si>
  <si>
    <t>Svc Type New</t>
  </si>
  <si>
    <t>Work Order Actuals</t>
  </si>
  <si>
    <t>MDR (Field ASUs)</t>
  </si>
  <si>
    <t>ASU Field Closing Prd</t>
  </si>
  <si>
    <t>Dispatches No IQR</t>
  </si>
  <si>
    <t>Dispatches Adj</t>
  </si>
  <si>
    <t>MDR Weekly</t>
  </si>
  <si>
    <t>Cnt Wk</t>
  </si>
  <si>
    <t>FY</t>
  </si>
  <si>
    <t>ASU History</t>
  </si>
  <si>
    <t>ASU Pass 2</t>
  </si>
  <si>
    <t>2025-FY</t>
  </si>
  <si>
    <t>2025-W01</t>
  </si>
  <si>
    <t>FY2025</t>
  </si>
  <si>
    <t>FY2025W01</t>
  </si>
  <si>
    <t>2025-W04</t>
  </si>
  <si>
    <t>2025-W06</t>
  </si>
  <si>
    <t>2025-W07</t>
  </si>
  <si>
    <t>FY2025W10</t>
  </si>
  <si>
    <t>FY2025W11</t>
  </si>
  <si>
    <t>2025-W13</t>
  </si>
  <si>
    <t>2025-W16</t>
  </si>
  <si>
    <t>2025-W18</t>
  </si>
  <si>
    <t>FY2025W19</t>
  </si>
  <si>
    <t>2025-W20</t>
  </si>
  <si>
    <t>2025-W21</t>
  </si>
  <si>
    <t>2025-W25</t>
  </si>
  <si>
    <t>2025-W26</t>
  </si>
  <si>
    <t>2025-W28</t>
  </si>
  <si>
    <t>2025-W29</t>
  </si>
  <si>
    <t>2025-W33</t>
  </si>
  <si>
    <t>2025-W34</t>
  </si>
  <si>
    <t>2025-W36</t>
  </si>
  <si>
    <t>FY2025W36</t>
  </si>
  <si>
    <t>2025-W37</t>
  </si>
  <si>
    <t>2025-W39</t>
  </si>
  <si>
    <t>FY2025W40</t>
  </si>
  <si>
    <t>2025-W42</t>
  </si>
  <si>
    <t>2025-W44</t>
  </si>
  <si>
    <t>FY2025W46</t>
  </si>
  <si>
    <t>2025-W48</t>
  </si>
  <si>
    <t>2025-W50</t>
  </si>
  <si>
    <t>2025-W51</t>
  </si>
  <si>
    <t>2025-W52</t>
  </si>
  <si>
    <t>2026-FY</t>
  </si>
  <si>
    <t>FY2026</t>
  </si>
  <si>
    <t>FY2026W02</t>
  </si>
  <si>
    <t>2026-W03</t>
  </si>
  <si>
    <t>2026-W05</t>
  </si>
  <si>
    <t>2026-W06</t>
  </si>
  <si>
    <t>FY2026W12</t>
  </si>
  <si>
    <t>2026-W13</t>
  </si>
  <si>
    <t>FY2026W13</t>
  </si>
  <si>
    <t>2026-W15</t>
  </si>
  <si>
    <t>FY2026W17</t>
  </si>
  <si>
    <t>FY2026W19</t>
  </si>
  <si>
    <t>2026-W20</t>
  </si>
  <si>
    <t>2026-W21</t>
  </si>
  <si>
    <t>FY2026W22</t>
  </si>
  <si>
    <t>2026-W24</t>
  </si>
  <si>
    <t>2026-W32</t>
  </si>
  <si>
    <t>2026-W33</t>
  </si>
  <si>
    <t>FY2026W33</t>
  </si>
  <si>
    <t>FY2026W36</t>
  </si>
  <si>
    <t>2026-W38</t>
  </si>
  <si>
    <t>2026-W40</t>
  </si>
  <si>
    <t>2026-W41</t>
  </si>
  <si>
    <t>FY2026W51</t>
  </si>
  <si>
    <t>FY2027</t>
  </si>
  <si>
    <t>FY2027W30</t>
  </si>
  <si>
    <t>FY2027W32</t>
  </si>
  <si>
    <t>FY2027W34</t>
  </si>
  <si>
    <t>FY2027W35</t>
  </si>
  <si>
    <t>FY2027W45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</si>
</sst>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%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4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6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sz val="11"/>
      <color theme="2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/>
    <xf numFmtId="9" fontId="1" fillId="0" borderId="0">
      <alignment vertical="center"/>
    </xf>
  </cellStyleXfs>
  <cellXfs count="61">
    <xf numFmtId="0" fontId="0" fillId="0" borderId="0" xfId="0"/>
    <xf numFmtId="0" fontId="0" fillId="0" borderId="0" xfId="0" applyAlignment="1">
      <alignment horizontal="center"/>
    </xf>
    <xf numFmtId="37" fontId="0" fillId="0" borderId="0" xfId="0" applyNumberFormat="1" applyAlignment="1">
      <alignment horizontal="center"/>
    </xf>
    <xf numFmtId="9" fontId="0" fillId="0" borderId="0" xfId="1" applyFont="1" applyAlignment="1">
      <alignment horizontal="center"/>
    </xf>
    <xf numFmtId="37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37" fontId="0" fillId="0" borderId="0" xfId="0" applyNumberFormat="1"/>
    <xf numFmtId="37" fontId="3" fillId="0" borderId="0" xfId="0" applyNumberFormat="1" applyFont="1" applyAlignment="1">
      <alignment horizontal="center"/>
    </xf>
    <xf numFmtId="9" fontId="0" fillId="2" borderId="0" xfId="1" applyFont="1" applyFill="1" applyAlignment="1">
      <alignment horizontal="center"/>
    </xf>
    <xf numFmtId="0" fontId="0" fillId="3" borderId="0" xfId="0" applyFill="1"/>
    <xf numFmtId="0" fontId="4" fillId="0" borderId="0" xfId="0" applyFont="1"/>
    <xf numFmtId="0" fontId="4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3" fontId="0" fillId="0" borderId="0" xfId="0" applyNumberFormat="1"/>
    <xf numFmtId="0" fontId="0" fillId="4" borderId="0" xfId="0" applyFill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6" xfId="0" applyBorder="1"/>
    <xf numFmtId="0" fontId="0" fillId="0" borderId="7" xfId="0" applyBorder="1"/>
    <xf numFmtId="3" fontId="0" fillId="0" borderId="6" xfId="0" applyNumberFormat="1" applyBorder="1" applyAlignment="1">
      <alignment horizontal="center"/>
    </xf>
    <xf numFmtId="3" fontId="0" fillId="0" borderId="4" xfId="0" applyNumberFormat="1" applyBorder="1" applyAlignment="1">
      <alignment horizontal="center"/>
    </xf>
    <xf numFmtId="164" fontId="5" fillId="0" borderId="8" xfId="2" applyNumberFormat="1" applyFont="1" applyBorder="1" applyAlignment="1">
      <alignment horizontal="center"/>
    </xf>
    <xf numFmtId="165" fontId="6" fillId="0" borderId="6" xfId="0" applyNumberFormat="1" applyFont="1" applyBorder="1" applyAlignment="1">
      <alignment horizontal="center"/>
    </xf>
    <xf numFmtId="165" fontId="0" fillId="0" borderId="4" xfId="2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164" fontId="5" fillId="0" borderId="7" xfId="2" applyNumberFormat="1" applyFont="1" applyBorder="1" applyAlignment="1">
      <alignment horizontal="center"/>
    </xf>
    <xf numFmtId="3" fontId="0" fillId="0" borderId="4" xfId="0" applyNumberFormat="1" applyBorder="1"/>
    <xf numFmtId="3" fontId="0" fillId="0" borderId="8" xfId="0" applyNumberFormat="1" applyBorder="1" applyAlignment="1">
      <alignment horizontal="center"/>
    </xf>
    <xf numFmtId="0" fontId="7" fillId="0" borderId="0" xfId="0" applyFont="1"/>
    <xf numFmtId="0" fontId="0" fillId="0" borderId="9" xfId="0" applyBorder="1"/>
    <xf numFmtId="0" fontId="0" fillId="0" borderId="10" xfId="0" applyBorder="1"/>
    <xf numFmtId="3" fontId="0" fillId="0" borderId="9" xfId="0" applyNumberFormat="1" applyBorder="1" applyAlignment="1">
      <alignment horizontal="center"/>
    </xf>
    <xf numFmtId="164" fontId="0" fillId="0" borderId="11" xfId="2" applyNumberFormat="1" applyFon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165" fontId="0" fillId="0" borderId="0" xfId="2" applyNumberFormat="1" applyFont="1" applyAlignment="1">
      <alignment horizontal="center"/>
    </xf>
    <xf numFmtId="165" fontId="0" fillId="0" borderId="11" xfId="2" applyNumberFormat="1" applyFont="1" applyBorder="1" applyAlignment="1">
      <alignment horizontal="center"/>
    </xf>
    <xf numFmtId="10" fontId="0" fillId="5" borderId="10" xfId="0" applyNumberFormat="1" applyFill="1" applyBorder="1" applyAlignment="1">
      <alignment horizontal="center"/>
    </xf>
    <xf numFmtId="3" fontId="0" fillId="0" borderId="11" xfId="0" applyNumberFormat="1" applyBorder="1" applyAlignment="1">
      <alignment horizontal="center"/>
    </xf>
    <xf numFmtId="0" fontId="0" fillId="0" borderId="12" xfId="0" applyBorder="1"/>
    <xf numFmtId="0" fontId="0" fillId="0" borderId="13" xfId="0" applyBorder="1"/>
    <xf numFmtId="3" fontId="0" fillId="0" borderId="12" xfId="0" applyNumberFormat="1" applyBorder="1" applyAlignment="1">
      <alignment horizontal="center"/>
    </xf>
    <xf numFmtId="3" fontId="0" fillId="0" borderId="14" xfId="0" applyNumberFormat="1" applyBorder="1" applyAlignment="1">
      <alignment horizontal="center"/>
    </xf>
    <xf numFmtId="164" fontId="0" fillId="0" borderId="15" xfId="2" applyNumberFormat="1" applyFont="1" applyBorder="1" applyAlignment="1">
      <alignment horizontal="center"/>
    </xf>
    <xf numFmtId="165" fontId="0" fillId="0" borderId="12" xfId="0" applyNumberFormat="1" applyBorder="1" applyAlignment="1">
      <alignment horizontal="center"/>
    </xf>
    <xf numFmtId="165" fontId="0" fillId="0" borderId="14" xfId="2" applyNumberFormat="1" applyFont="1" applyBorder="1" applyAlignment="1">
      <alignment horizontal="center"/>
    </xf>
    <xf numFmtId="165" fontId="0" fillId="0" borderId="15" xfId="2" applyNumberFormat="1" applyFont="1" applyBorder="1" applyAlignment="1">
      <alignment horizontal="center"/>
    </xf>
    <xf numFmtId="164" fontId="0" fillId="5" borderId="13" xfId="2" applyNumberFormat="1" applyFont="1" applyFill="1" applyBorder="1" applyAlignment="1">
      <alignment horizontal="center"/>
    </xf>
    <xf numFmtId="3" fontId="0" fillId="0" borderId="14" xfId="0" applyNumberFormat="1" applyBorder="1"/>
    <xf numFmtId="3" fontId="0" fillId="0" borderId="15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9" fontId="0" fillId="0" borderId="0" xfId="2" applyFont="1" applyAlignment="1">
      <alignment horizontal="center"/>
    </xf>
    <xf numFmtId="9" fontId="8" fillId="0" borderId="0" xfId="2" applyFont="1" applyAlignment="1">
      <alignment horizontal="center"/>
    </xf>
    <xf numFmtId="165" fontId="0" fillId="0" borderId="0" xfId="0" applyNumberFormat="1"/>
    <xf numFmtId="0" fontId="0" fillId="0" borderId="14" xfId="0" applyBorder="1" applyAlignment="1">
      <alignment horizontal="center"/>
    </xf>
    <xf numFmtId="0" fontId="0" fillId="0" borderId="14" xfId="0" applyBorder="1"/>
    <xf numFmtId="0" fontId="9" fillId="0" borderId="0" xfId="0" applyFont="1" applyAlignment="1">
      <alignment horizontal="center"/>
    </xf>
    <xf numFmtId="165" fontId="0" fillId="0" borderId="14" xfId="0" applyNumberFormat="1" applyBorder="1" applyAlignment="1">
      <alignment horizontal="center"/>
    </xf>
  </cellXfs>
  <cellStyles count="3">
    <cellStyle name="Normal" xfId="0" builtinId="0"/>
    <cellStyle name="Percent" xfId="1" builtinId="5"/>
    <cellStyle name="Percent 2" xfId="2" xr:uid="{ED6FF026-CD35-46FB-A7E0-2D59CA8A35E8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New Contracts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1013474966774657"/>
          <c:y val="0.15343885010197381"/>
          <c:w val="0.87070800984798358"/>
          <c:h val="0.63330253718285201"/>
        </c:manualLayout>
      </c:layout>
      <c:lineChart>
        <c:grouping val="standard"/>
        <c:varyColors val="0"/>
        <c:ser>
          <c:idx val="0"/>
          <c:order val="0"/>
          <c:tx>
            <c:strRef>
              <c:f>[2]Contracts!$W$10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</c:spPr>
            <c:trendlineType val="linear"/>
            <c:dispRSqr val="0"/>
            <c:dispEq val="0"/>
          </c:trendline>
          <c:cat>
            <c:strRef>
              <c:f>[2]Contracts!$T$11:$U$166</c:f>
              <c:strCache>
                <c:ptCount val="156"/>
              </c:strCache>
            </c:strRef>
          </c:cat>
          <c:val>
            <c:numRef>
              <c:f>[2]Contracts!$W$11:$W$166</c:f>
              <c:numCache>
                <c:formatCode>General</c:formatCode>
                <c:ptCount val="15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C4-48EA-AAD6-100141796806}"/>
            </c:ext>
          </c:extLst>
        </c:ser>
        <c:ser>
          <c:idx val="1"/>
          <c:order val="1"/>
          <c:tx>
            <c:strRef>
              <c:f>[2]Contracts!$X$10</c:f>
              <c:strCache>
                <c:ptCount val="1"/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[2]Contracts!$T$11:$U$166</c:f>
              <c:strCache>
                <c:ptCount val="156"/>
              </c:strCache>
            </c:strRef>
          </c:cat>
          <c:val>
            <c:numRef>
              <c:f>[2]Contracts!$X$11:$X$166</c:f>
              <c:numCache>
                <c:formatCode>General</c:formatCode>
                <c:ptCount val="15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C4-48EA-AAD6-1001417968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5476559"/>
        <c:axId val="945476975"/>
      </c:lineChart>
      <c:catAx>
        <c:axId val="945476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476975"/>
        <c:crosses val="autoZero"/>
        <c:auto val="1"/>
        <c:lblAlgn val="ctr"/>
        <c:lblOffset val="100"/>
        <c:noMultiLvlLbl val="0"/>
      </c:catAx>
      <c:valAx>
        <c:axId val="9454769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476559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7834062130113268"/>
          <c:y val="0.65731933508311458"/>
          <c:w val="0.52038794140072375"/>
          <c:h val="6.9811235324066814E-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4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600075</xdr:colOff>
      <xdr:row>92</xdr:row>
      <xdr:rowOff>142875</xdr:rowOff>
    </xdr:from>
    <xdr:to>
      <xdr:col>33</xdr:col>
      <xdr:colOff>581025</xdr:colOff>
      <xdr:row>107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arshit.nair\Desktop\Adjustment%20Templates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ss 2 Manual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acts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66"/>
  <sheetViews>
    <sheetView workbookViewId="0">
      <pane ySplit="8" topLeftCell="A86" activePane="bottomLeft" state="frozen"/>
      <selection pane="bottomLeft" activeCell="D4" sqref="D4"/>
    </sheetView>
  </sheetViews>
  <sheetFormatPr defaultRowHeight="14.4" x14ac:dyDescent="0.3"/>
  <cols>
    <col min="1" max="1" width="24.6640625" bestFit="1" customWidth="1"/>
    <col min="2" max="2" width="27.6640625" bestFit="1" customWidth="1"/>
    <col min="3" max="3" width="22.109375" bestFit="1" customWidth="1"/>
    <col min="4" max="4" width="29.33203125" bestFit="1" customWidth="1"/>
    <col min="5" max="5" width="29.5546875" bestFit="1" customWidth="1"/>
    <col min="6" max="6" width="23.33203125" bestFit="1" customWidth="1"/>
    <col min="7" max="7" width="14.5546875" bestFit="1" customWidth="1"/>
    <col min="8" max="9" width="8.33203125" bestFit="1" customWidth="1"/>
    <col min="11" max="11" width="23.6640625" bestFit="1" customWidth="1"/>
    <col min="12" max="12" width="27.6640625" bestFit="1" customWidth="1"/>
    <col min="14" max="14" width="13.6640625" bestFit="1" customWidth="1"/>
    <col min="15" max="15" width="27.6640625" bestFit="1" customWidth="1"/>
    <col min="16" max="16" width="13.88671875" bestFit="1" customWidth="1"/>
    <col min="17" max="17" width="7.5546875" bestFit="1" customWidth="1"/>
    <col min="18" max="18" width="8.5546875" bestFit="1" customWidth="1"/>
    <col min="20" max="20" width="8.6640625" bestFit="1" customWidth="1"/>
    <col min="21" max="21" width="10.44140625" bestFit="1" customWidth="1"/>
    <col min="22" max="22" width="10.5546875" bestFit="1" customWidth="1"/>
    <col min="23" max="24" width="10.33203125" bestFit="1" customWidth="1"/>
  </cols>
  <sheetData>
    <row r="1" spans="1:24" x14ac:dyDescent="0.3">
      <c r="G1" s="1"/>
      <c r="H1" s="1"/>
      <c r="I1" s="1"/>
      <c r="Q1" s="1"/>
      <c r="R1" s="1"/>
      <c r="S1" s="9"/>
      <c r="W1" s="1" t="s">
        <v>0</v>
      </c>
      <c r="X1" s="1" t="s">
        <v>1</v>
      </c>
    </row>
    <row r="2" spans="1:24" x14ac:dyDescent="0.3">
      <c r="G2" s="1"/>
      <c r="H2" s="1"/>
      <c r="I2" s="1"/>
      <c r="K2" s="10"/>
      <c r="N2" s="10" t="s">
        <v>2</v>
      </c>
      <c r="Q2" s="1"/>
      <c r="R2" s="1"/>
      <c r="S2" s="9"/>
      <c r="U2" t="s">
        <v>3</v>
      </c>
      <c r="V2" t="s">
        <v>4</v>
      </c>
      <c r="W2" s="2">
        <f>SUM(W11:W62)</f>
        <v>1573812</v>
      </c>
      <c r="X2" s="2">
        <f>SUM(X11:X62)</f>
        <v>1573812</v>
      </c>
    </row>
    <row r="3" spans="1:24" x14ac:dyDescent="0.3">
      <c r="G3" s="1"/>
      <c r="H3" s="1"/>
      <c r="I3" s="1"/>
      <c r="N3" t="s">
        <v>5</v>
      </c>
      <c r="O3" t="s">
        <v>6</v>
      </c>
      <c r="Q3" s="1"/>
      <c r="R3" s="1"/>
      <c r="S3" s="9"/>
      <c r="V3" t="s">
        <v>7</v>
      </c>
      <c r="W3" s="2">
        <f>SUM(W63:W114)</f>
        <v>1600458</v>
      </c>
      <c r="X3" s="2">
        <f>SUM(X63:X114)</f>
        <v>1480773</v>
      </c>
    </row>
    <row r="4" spans="1:24" x14ac:dyDescent="0.3">
      <c r="A4" s="10" t="s">
        <v>8</v>
      </c>
      <c r="G4" s="1"/>
      <c r="H4" s="1"/>
      <c r="I4" s="1"/>
      <c r="K4" s="11" t="s">
        <v>9</v>
      </c>
      <c r="N4" t="s">
        <v>10</v>
      </c>
      <c r="O4" t="s">
        <v>11</v>
      </c>
      <c r="Q4" s="1"/>
      <c r="R4" s="1"/>
      <c r="S4" s="9"/>
      <c r="V4" t="s">
        <v>12</v>
      </c>
      <c r="W4" s="2">
        <f>SUM(W115:W166)</f>
        <v>1725637</v>
      </c>
      <c r="X4" s="2">
        <f>SUM(X115:X166)</f>
        <v>1552870</v>
      </c>
    </row>
    <row r="5" spans="1:24" x14ac:dyDescent="0.3">
      <c r="A5" t="s">
        <v>13</v>
      </c>
      <c r="B5" t="s">
        <v>6</v>
      </c>
      <c r="G5" s="1"/>
      <c r="H5" s="1"/>
      <c r="I5" s="1"/>
      <c r="K5" t="s">
        <v>5</v>
      </c>
      <c r="L5" t="s">
        <v>6</v>
      </c>
      <c r="N5" t="s">
        <v>14</v>
      </c>
      <c r="O5" t="s">
        <v>15</v>
      </c>
      <c r="Q5" s="1"/>
      <c r="R5" s="1"/>
      <c r="S5" s="9"/>
      <c r="W5" s="1"/>
    </row>
    <row r="6" spans="1:24" x14ac:dyDescent="0.3">
      <c r="A6" t="s">
        <v>16</v>
      </c>
      <c r="B6" t="s">
        <v>17</v>
      </c>
      <c r="G6" s="1"/>
      <c r="H6" s="1"/>
      <c r="I6" s="1"/>
      <c r="K6" t="s">
        <v>10</v>
      </c>
      <c r="L6" t="s">
        <v>11</v>
      </c>
      <c r="N6" t="s">
        <v>18</v>
      </c>
      <c r="O6" t="s">
        <v>15</v>
      </c>
      <c r="Q6" s="1"/>
      <c r="R6" s="1"/>
      <c r="S6" s="9"/>
      <c r="U6" t="s">
        <v>19</v>
      </c>
      <c r="V6" t="str">
        <f>V3</f>
        <v>FY26</v>
      </c>
      <c r="W6" s="3">
        <f>W3/W2-1</f>
        <v>1.6930865948410645E-2</v>
      </c>
      <c r="X6" s="3">
        <f>X3/X2-1</f>
        <v>-5.9116972039862437E-2</v>
      </c>
    </row>
    <row r="7" spans="1:24" x14ac:dyDescent="0.3">
      <c r="A7" t="s">
        <v>20</v>
      </c>
      <c r="B7" t="s">
        <v>15</v>
      </c>
      <c r="G7" s="1"/>
      <c r="H7" s="1"/>
      <c r="I7" s="1"/>
      <c r="K7" t="s">
        <v>3</v>
      </c>
      <c r="L7" t="s">
        <v>21</v>
      </c>
      <c r="N7" t="s">
        <v>3</v>
      </c>
      <c r="O7" t="s">
        <v>15</v>
      </c>
      <c r="Q7" s="1"/>
      <c r="R7" s="1"/>
      <c r="S7" s="9"/>
      <c r="V7" t="str">
        <f>V4</f>
        <v>FY27</v>
      </c>
      <c r="W7" s="3">
        <f>W4/W3-1</f>
        <v>7.8214486103352909E-2</v>
      </c>
      <c r="X7" s="3">
        <f>X4/X3-1</f>
        <v>4.8688759181859664E-2</v>
      </c>
    </row>
    <row r="8" spans="1:24" x14ac:dyDescent="0.3">
      <c r="A8" t="s">
        <v>3</v>
      </c>
      <c r="B8" t="s">
        <v>21</v>
      </c>
      <c r="G8" s="1"/>
      <c r="H8" s="1"/>
      <c r="I8" s="1"/>
      <c r="K8" t="s">
        <v>22</v>
      </c>
      <c r="L8" t="s">
        <v>15</v>
      </c>
      <c r="M8" s="12"/>
      <c r="O8" s="12"/>
      <c r="P8" s="12"/>
      <c r="Q8" s="1"/>
      <c r="R8" s="1"/>
      <c r="S8" s="9"/>
      <c r="W8" s="1"/>
    </row>
    <row r="9" spans="1:24" x14ac:dyDescent="0.3">
      <c r="G9" s="1"/>
      <c r="H9" s="1"/>
      <c r="I9" s="1"/>
      <c r="N9" t="s">
        <v>23</v>
      </c>
      <c r="O9" t="s">
        <v>24</v>
      </c>
      <c r="Q9" s="1"/>
      <c r="R9" s="1"/>
      <c r="S9" s="9"/>
      <c r="W9" s="1"/>
    </row>
    <row r="10" spans="1:24" ht="15.75" customHeight="1" x14ac:dyDescent="0.3">
      <c r="A10" t="s">
        <v>25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G10" s="1" t="s">
        <v>31</v>
      </c>
      <c r="H10" s="1" t="s">
        <v>32</v>
      </c>
      <c r="I10" s="1" t="s">
        <v>33</v>
      </c>
      <c r="K10" t="s">
        <v>26</v>
      </c>
      <c r="L10" t="s">
        <v>34</v>
      </c>
      <c r="N10" t="s">
        <v>26</v>
      </c>
      <c r="O10" t="s">
        <v>35</v>
      </c>
      <c r="P10" t="s">
        <v>36</v>
      </c>
      <c r="Q10" s="1"/>
      <c r="R10" s="1"/>
      <c r="S10" s="9"/>
      <c r="T10" s="4" t="s">
        <v>37</v>
      </c>
      <c r="U10" s="4" t="s">
        <v>38</v>
      </c>
      <c r="V10" s="4" t="s">
        <v>39</v>
      </c>
      <c r="W10" s="4" t="s">
        <v>40</v>
      </c>
      <c r="X10" s="5" t="s">
        <v>1</v>
      </c>
    </row>
    <row r="11" spans="1:24" x14ac:dyDescent="0.3">
      <c r="A11" t="s">
        <v>41</v>
      </c>
      <c r="B11" t="s">
        <v>42</v>
      </c>
      <c r="C11" s="13">
        <v>7673725</v>
      </c>
      <c r="D11" s="13">
        <v>24003</v>
      </c>
      <c r="E11" s="13">
        <v>36495</v>
      </c>
      <c r="F11" s="13"/>
      <c r="G11" s="12"/>
      <c r="H11" s="12"/>
      <c r="I11" s="12"/>
      <c r="J11" s="13"/>
      <c r="K11" t="s">
        <v>43</v>
      </c>
      <c r="L11" s="13">
        <v>7510164</v>
      </c>
      <c r="N11" t="s">
        <v>44</v>
      </c>
      <c r="O11" s="13">
        <v>23248</v>
      </c>
      <c r="P11" s="13">
        <v>21131</v>
      </c>
      <c r="Q11" s="1"/>
      <c r="R11" s="1"/>
      <c r="S11" s="9"/>
      <c r="T11" s="6" t="str">
        <f>A11</f>
        <v>2025-Q2</v>
      </c>
      <c r="U11" s="6" t="str">
        <f t="shared" ref="U11:U42" si="0">RIGHT(N11,3)</f>
        <v>W44</v>
      </c>
      <c r="V11" s="6"/>
      <c r="W11" s="2">
        <f t="shared" ref="W11:W42" si="1">O11</f>
        <v>23248</v>
      </c>
      <c r="X11" s="2">
        <f t="shared" ref="X11:X42" si="2">W11</f>
        <v>23248</v>
      </c>
    </row>
    <row r="12" spans="1:24" x14ac:dyDescent="0.3">
      <c r="A12" t="s">
        <v>45</v>
      </c>
      <c r="B12" t="s">
        <v>46</v>
      </c>
      <c r="C12" s="13">
        <v>7729098</v>
      </c>
      <c r="D12" s="13">
        <v>34442</v>
      </c>
      <c r="E12" s="13">
        <v>34948</v>
      </c>
      <c r="F12" s="13"/>
      <c r="G12" s="12"/>
      <c r="H12" s="12"/>
      <c r="I12" s="12"/>
      <c r="J12" s="13"/>
      <c r="K12" t="s">
        <v>47</v>
      </c>
      <c r="L12" s="13">
        <v>7082009</v>
      </c>
      <c r="N12" t="s">
        <v>48</v>
      </c>
      <c r="O12" s="13">
        <v>38361</v>
      </c>
      <c r="P12" s="13">
        <v>30859</v>
      </c>
      <c r="Q12" s="1"/>
      <c r="R12" s="1"/>
      <c r="S12" s="9"/>
      <c r="T12" s="6"/>
      <c r="U12" s="6" t="str">
        <f t="shared" si="0"/>
        <v>W26</v>
      </c>
      <c r="V12" s="6"/>
      <c r="W12" s="2">
        <f t="shared" si="1"/>
        <v>38361</v>
      </c>
      <c r="X12" s="2">
        <f t="shared" si="2"/>
        <v>38361</v>
      </c>
    </row>
    <row r="13" spans="1:24" x14ac:dyDescent="0.3">
      <c r="A13" t="s">
        <v>49</v>
      </c>
      <c r="B13" t="s">
        <v>50</v>
      </c>
      <c r="C13" s="13">
        <v>7024715</v>
      </c>
      <c r="D13" s="13">
        <v>23557</v>
      </c>
      <c r="E13" s="13">
        <v>20996</v>
      </c>
      <c r="F13" s="13"/>
      <c r="G13" s="12"/>
      <c r="H13" s="12"/>
      <c r="I13" s="12"/>
      <c r="J13" s="13"/>
      <c r="K13" t="s">
        <v>51</v>
      </c>
      <c r="L13" s="13">
        <v>7776954</v>
      </c>
      <c r="N13" t="s">
        <v>52</v>
      </c>
      <c r="O13" s="13">
        <v>30604</v>
      </c>
      <c r="P13" s="13">
        <v>33748</v>
      </c>
      <c r="Q13" s="1"/>
      <c r="R13" s="1"/>
      <c r="S13" s="9"/>
      <c r="T13" s="6"/>
      <c r="U13" s="6" t="str">
        <f t="shared" si="0"/>
        <v>W38</v>
      </c>
      <c r="V13" s="6"/>
      <c r="W13" s="2">
        <f t="shared" si="1"/>
        <v>30604</v>
      </c>
      <c r="X13" s="2">
        <f t="shared" si="2"/>
        <v>30604</v>
      </c>
    </row>
    <row r="14" spans="1:24" x14ac:dyDescent="0.3">
      <c r="A14" t="s">
        <v>53</v>
      </c>
      <c r="B14" t="s">
        <v>54</v>
      </c>
      <c r="C14" s="13">
        <v>7562109</v>
      </c>
      <c r="D14" s="13">
        <v>25373</v>
      </c>
      <c r="E14" s="13">
        <v>25354</v>
      </c>
      <c r="F14" s="13"/>
      <c r="G14" s="12"/>
      <c r="H14" s="12"/>
      <c r="I14" s="12"/>
      <c r="J14" s="13"/>
      <c r="K14" t="s">
        <v>55</v>
      </c>
      <c r="L14" s="13">
        <v>7586181</v>
      </c>
      <c r="N14" t="s">
        <v>44</v>
      </c>
      <c r="O14" s="13">
        <v>26372</v>
      </c>
      <c r="P14" s="13">
        <v>36018</v>
      </c>
      <c r="Q14" s="1"/>
      <c r="R14" s="1"/>
      <c r="S14" s="9"/>
      <c r="T14" s="6"/>
      <c r="U14" s="6" t="str">
        <f t="shared" si="0"/>
        <v>W44</v>
      </c>
      <c r="V14" s="6"/>
      <c r="W14" s="2">
        <f t="shared" si="1"/>
        <v>26372</v>
      </c>
      <c r="X14" s="2">
        <f t="shared" si="2"/>
        <v>26372</v>
      </c>
    </row>
    <row r="15" spans="1:24" x14ac:dyDescent="0.3">
      <c r="A15" t="s">
        <v>45</v>
      </c>
      <c r="B15" t="s">
        <v>56</v>
      </c>
      <c r="C15" s="13">
        <v>7969966</v>
      </c>
      <c r="D15" s="13">
        <v>23342</v>
      </c>
      <c r="E15" s="13">
        <v>37533</v>
      </c>
      <c r="F15" s="13"/>
      <c r="G15" s="12"/>
      <c r="H15" s="12"/>
      <c r="I15" s="12"/>
      <c r="J15" s="13"/>
      <c r="K15" t="s">
        <v>57</v>
      </c>
      <c r="L15" s="13">
        <v>7479826</v>
      </c>
      <c r="N15" t="s">
        <v>58</v>
      </c>
      <c r="O15" s="13">
        <v>32073</v>
      </c>
      <c r="P15" s="13">
        <v>20723</v>
      </c>
      <c r="Q15" s="1"/>
      <c r="R15" s="1"/>
      <c r="S15" s="9"/>
      <c r="T15" s="6"/>
      <c r="U15" s="6" t="str">
        <f t="shared" si="0"/>
        <v>W04</v>
      </c>
      <c r="V15" s="6"/>
      <c r="W15" s="2">
        <f t="shared" si="1"/>
        <v>32073</v>
      </c>
      <c r="X15" s="2">
        <f t="shared" si="2"/>
        <v>32073</v>
      </c>
    </row>
    <row r="16" spans="1:24" x14ac:dyDescent="0.3">
      <c r="A16" t="s">
        <v>59</v>
      </c>
      <c r="B16" t="s">
        <v>60</v>
      </c>
      <c r="C16" s="13">
        <v>7970400</v>
      </c>
      <c r="D16" s="13">
        <v>22420</v>
      </c>
      <c r="E16" s="13">
        <v>35253</v>
      </c>
      <c r="F16" s="13"/>
      <c r="G16" s="12"/>
      <c r="H16" s="12"/>
      <c r="I16" s="12"/>
      <c r="J16" s="13"/>
      <c r="K16" t="s">
        <v>61</v>
      </c>
      <c r="L16" s="13">
        <v>7668670</v>
      </c>
      <c r="N16" t="s">
        <v>62</v>
      </c>
      <c r="O16" s="13">
        <v>33830</v>
      </c>
      <c r="P16" s="13">
        <v>21444</v>
      </c>
      <c r="Q16" s="1"/>
      <c r="R16" s="1"/>
      <c r="S16" s="9"/>
      <c r="T16" s="6"/>
      <c r="U16" s="6" t="str">
        <f t="shared" si="0"/>
        <v>W24</v>
      </c>
      <c r="V16" s="6"/>
      <c r="W16" s="2">
        <f t="shared" si="1"/>
        <v>33830</v>
      </c>
      <c r="X16" s="2">
        <f t="shared" si="2"/>
        <v>33830</v>
      </c>
    </row>
    <row r="17" spans="1:24" x14ac:dyDescent="0.3">
      <c r="A17" t="s">
        <v>63</v>
      </c>
      <c r="B17" t="s">
        <v>64</v>
      </c>
      <c r="C17" s="13">
        <v>7765105</v>
      </c>
      <c r="D17" s="13">
        <v>32048</v>
      </c>
      <c r="E17" s="13">
        <v>37451</v>
      </c>
      <c r="F17" s="13"/>
      <c r="G17" s="12"/>
      <c r="H17" s="12"/>
      <c r="I17" s="12"/>
      <c r="J17" s="13"/>
      <c r="K17" t="s">
        <v>65</v>
      </c>
      <c r="L17" s="13">
        <v>7434909</v>
      </c>
      <c r="N17" t="s">
        <v>66</v>
      </c>
      <c r="O17" s="13">
        <v>35390</v>
      </c>
      <c r="P17" s="13">
        <v>31270</v>
      </c>
      <c r="Q17" s="1"/>
      <c r="R17" s="1"/>
      <c r="S17" s="9"/>
      <c r="T17" s="6"/>
      <c r="U17" s="6" t="str">
        <f t="shared" si="0"/>
        <v>W03</v>
      </c>
      <c r="V17" s="6"/>
      <c r="W17" s="2">
        <f t="shared" si="1"/>
        <v>35390</v>
      </c>
      <c r="X17" s="2">
        <f t="shared" si="2"/>
        <v>35390</v>
      </c>
    </row>
    <row r="18" spans="1:24" x14ac:dyDescent="0.3">
      <c r="A18" t="s">
        <v>49</v>
      </c>
      <c r="B18" t="s">
        <v>67</v>
      </c>
      <c r="C18" s="13">
        <v>7065848</v>
      </c>
      <c r="D18" s="13">
        <v>22393</v>
      </c>
      <c r="E18" s="13">
        <v>28890</v>
      </c>
      <c r="F18" s="13"/>
      <c r="G18" s="12"/>
      <c r="H18" s="12"/>
      <c r="I18" s="12"/>
      <c r="J18" s="13"/>
      <c r="K18" t="s">
        <v>68</v>
      </c>
      <c r="L18" s="13">
        <v>7562291</v>
      </c>
      <c r="N18" t="s">
        <v>69</v>
      </c>
      <c r="O18" s="13">
        <v>38176</v>
      </c>
      <c r="P18" s="13">
        <v>37540</v>
      </c>
      <c r="Q18" s="1"/>
      <c r="R18" s="1"/>
      <c r="S18" s="9"/>
      <c r="T18" s="6"/>
      <c r="U18" s="6" t="str">
        <f t="shared" si="0"/>
        <v>W18</v>
      </c>
      <c r="V18" s="6"/>
      <c r="W18" s="2">
        <f t="shared" si="1"/>
        <v>38176</v>
      </c>
      <c r="X18" s="2">
        <f t="shared" si="2"/>
        <v>38176</v>
      </c>
    </row>
    <row r="19" spans="1:24" x14ac:dyDescent="0.3">
      <c r="A19" t="s">
        <v>41</v>
      </c>
      <c r="B19" t="s">
        <v>70</v>
      </c>
      <c r="C19" s="13">
        <v>7533234</v>
      </c>
      <c r="D19" s="13">
        <v>23272</v>
      </c>
      <c r="E19" s="13">
        <v>30743</v>
      </c>
      <c r="F19" s="13"/>
      <c r="G19" s="12"/>
      <c r="H19" s="12"/>
      <c r="I19" s="12"/>
      <c r="J19" s="13"/>
      <c r="K19" t="s">
        <v>71</v>
      </c>
      <c r="L19" s="13">
        <v>7207264</v>
      </c>
      <c r="N19" t="s">
        <v>72</v>
      </c>
      <c r="O19" s="13">
        <v>26303</v>
      </c>
      <c r="P19" s="13">
        <v>35932</v>
      </c>
      <c r="Q19" s="1"/>
      <c r="R19" s="1"/>
      <c r="S19" s="9"/>
      <c r="T19" s="6"/>
      <c r="U19" s="6" t="str">
        <f t="shared" si="0"/>
        <v>W49</v>
      </c>
      <c r="V19" s="6"/>
      <c r="W19" s="2">
        <f t="shared" si="1"/>
        <v>26303</v>
      </c>
      <c r="X19" s="2">
        <f t="shared" si="2"/>
        <v>26303</v>
      </c>
    </row>
    <row r="20" spans="1:24" x14ac:dyDescent="0.3">
      <c r="A20" t="s">
        <v>45</v>
      </c>
      <c r="B20" t="s">
        <v>73</v>
      </c>
      <c r="C20" s="13">
        <v>7034537</v>
      </c>
      <c r="D20" s="13">
        <v>30527</v>
      </c>
      <c r="E20" s="13">
        <v>26809</v>
      </c>
      <c r="F20" s="13"/>
      <c r="G20" s="12"/>
      <c r="H20" s="12"/>
      <c r="I20" s="12"/>
      <c r="J20" s="13"/>
      <c r="K20" t="s">
        <v>74</v>
      </c>
      <c r="L20" s="13">
        <v>7102281</v>
      </c>
      <c r="N20" t="s">
        <v>75</v>
      </c>
      <c r="O20" s="13">
        <v>25921</v>
      </c>
      <c r="P20" s="13">
        <v>38751</v>
      </c>
      <c r="Q20" s="1"/>
      <c r="R20" s="1"/>
      <c r="S20" s="9"/>
      <c r="T20" s="6"/>
      <c r="U20" s="6" t="str">
        <f t="shared" si="0"/>
        <v>W41</v>
      </c>
      <c r="V20" s="6"/>
      <c r="W20" s="2">
        <f t="shared" si="1"/>
        <v>25921</v>
      </c>
      <c r="X20" s="2">
        <f t="shared" si="2"/>
        <v>25921</v>
      </c>
    </row>
    <row r="21" spans="1:24" x14ac:dyDescent="0.3">
      <c r="A21" t="s">
        <v>41</v>
      </c>
      <c r="B21" t="s">
        <v>64</v>
      </c>
      <c r="C21" s="13">
        <v>7542805</v>
      </c>
      <c r="D21" s="13">
        <v>26907</v>
      </c>
      <c r="E21" s="13">
        <v>22809</v>
      </c>
      <c r="F21" s="13"/>
      <c r="G21" s="12"/>
      <c r="H21" s="12"/>
      <c r="I21" s="12"/>
      <c r="J21" s="13"/>
      <c r="K21" t="s">
        <v>76</v>
      </c>
      <c r="L21" s="13">
        <v>7518727</v>
      </c>
      <c r="N21" t="s">
        <v>77</v>
      </c>
      <c r="O21" s="13">
        <v>41044</v>
      </c>
      <c r="P21" s="13">
        <v>28095</v>
      </c>
      <c r="Q21" s="1"/>
      <c r="R21" s="1"/>
      <c r="S21" s="9"/>
      <c r="T21" s="6"/>
      <c r="U21" s="6" t="str">
        <f t="shared" si="0"/>
        <v>W02</v>
      </c>
      <c r="V21" s="6"/>
      <c r="W21" s="2">
        <f t="shared" si="1"/>
        <v>41044</v>
      </c>
      <c r="X21" s="2">
        <f t="shared" si="2"/>
        <v>41044</v>
      </c>
    </row>
    <row r="22" spans="1:24" x14ac:dyDescent="0.3">
      <c r="A22" t="s">
        <v>78</v>
      </c>
      <c r="B22" t="s">
        <v>79</v>
      </c>
      <c r="C22" s="13">
        <v>7074291</v>
      </c>
      <c r="D22" s="13">
        <v>19794</v>
      </c>
      <c r="E22" s="13">
        <v>26782</v>
      </c>
      <c r="F22" s="13"/>
      <c r="G22" s="12"/>
      <c r="H22" s="12"/>
      <c r="I22" s="12"/>
      <c r="J22" s="13"/>
      <c r="K22" t="s">
        <v>80</v>
      </c>
      <c r="L22" s="13">
        <v>7134639</v>
      </c>
      <c r="N22" t="s">
        <v>81</v>
      </c>
      <c r="O22" s="13">
        <v>29525</v>
      </c>
      <c r="P22" s="13">
        <v>24162</v>
      </c>
      <c r="Q22" s="1"/>
      <c r="R22" s="1"/>
      <c r="S22" s="9"/>
      <c r="T22" s="6"/>
      <c r="U22" s="6" t="str">
        <f t="shared" si="0"/>
        <v>W15</v>
      </c>
      <c r="V22" s="6"/>
      <c r="W22" s="2">
        <f t="shared" si="1"/>
        <v>29525</v>
      </c>
      <c r="X22" s="2">
        <f t="shared" si="2"/>
        <v>29525</v>
      </c>
    </row>
    <row r="23" spans="1:24" x14ac:dyDescent="0.3">
      <c r="A23" t="s">
        <v>53</v>
      </c>
      <c r="B23" t="s">
        <v>82</v>
      </c>
      <c r="C23" s="13">
        <v>7669069</v>
      </c>
      <c r="D23" s="13">
        <v>21881</v>
      </c>
      <c r="E23" s="13">
        <v>18981</v>
      </c>
      <c r="F23" s="13"/>
      <c r="G23" s="12"/>
      <c r="H23" s="12"/>
      <c r="I23" s="12"/>
      <c r="J23" s="13"/>
      <c r="K23" t="s">
        <v>83</v>
      </c>
      <c r="L23" s="13">
        <v>7416604</v>
      </c>
      <c r="N23" t="s">
        <v>84</v>
      </c>
      <c r="O23" s="13">
        <v>37623</v>
      </c>
      <c r="P23" s="13">
        <v>29073</v>
      </c>
      <c r="Q23" s="1"/>
      <c r="R23" s="1"/>
      <c r="S23" s="9"/>
      <c r="T23" s="6"/>
      <c r="U23" s="6" t="str">
        <f t="shared" si="0"/>
        <v>W45</v>
      </c>
      <c r="V23" s="6"/>
      <c r="W23" s="2">
        <f t="shared" si="1"/>
        <v>37623</v>
      </c>
      <c r="X23" s="2">
        <f t="shared" si="2"/>
        <v>37623</v>
      </c>
    </row>
    <row r="24" spans="1:24" x14ac:dyDescent="0.3">
      <c r="A24" t="s">
        <v>41</v>
      </c>
      <c r="B24" t="s">
        <v>85</v>
      </c>
      <c r="C24" s="13">
        <v>7449708</v>
      </c>
      <c r="D24" s="13">
        <v>26198</v>
      </c>
      <c r="E24" s="13">
        <v>34066</v>
      </c>
      <c r="F24" s="13"/>
      <c r="G24" s="12"/>
      <c r="H24" s="12"/>
      <c r="I24" s="12"/>
      <c r="J24" s="13"/>
      <c r="K24" t="s">
        <v>52</v>
      </c>
      <c r="L24" s="13">
        <v>7245977</v>
      </c>
      <c r="N24" t="s">
        <v>86</v>
      </c>
      <c r="O24" s="13">
        <v>30647</v>
      </c>
      <c r="P24" s="13">
        <v>31143</v>
      </c>
      <c r="Q24" s="1"/>
      <c r="R24" s="1"/>
      <c r="S24" s="9"/>
      <c r="T24" s="6" t="str">
        <f>A24</f>
        <v>2025-Q2</v>
      </c>
      <c r="U24" s="6" t="str">
        <f t="shared" si="0"/>
        <v>W10</v>
      </c>
      <c r="V24" s="6"/>
      <c r="W24" s="2">
        <f t="shared" si="1"/>
        <v>30647</v>
      </c>
      <c r="X24" s="2">
        <f t="shared" si="2"/>
        <v>30647</v>
      </c>
    </row>
    <row r="25" spans="1:24" x14ac:dyDescent="0.3">
      <c r="A25" t="s">
        <v>45</v>
      </c>
      <c r="B25" t="s">
        <v>87</v>
      </c>
      <c r="C25" s="13">
        <v>8015515</v>
      </c>
      <c r="D25" s="13">
        <v>27786</v>
      </c>
      <c r="E25" s="13">
        <v>27096</v>
      </c>
      <c r="F25" s="13"/>
      <c r="G25" s="12"/>
      <c r="H25" s="12"/>
      <c r="I25" s="12"/>
      <c r="J25" s="13"/>
      <c r="K25" t="s">
        <v>88</v>
      </c>
      <c r="L25" s="13">
        <v>7527041</v>
      </c>
      <c r="N25" t="s">
        <v>89</v>
      </c>
      <c r="O25" s="13">
        <v>28055</v>
      </c>
      <c r="P25" s="13">
        <v>25430</v>
      </c>
      <c r="Q25" s="1"/>
      <c r="R25" s="1"/>
      <c r="S25" s="9"/>
      <c r="T25" s="6"/>
      <c r="U25" s="6" t="str">
        <f t="shared" si="0"/>
        <v>W34</v>
      </c>
      <c r="V25" s="6"/>
      <c r="W25" s="2">
        <f t="shared" si="1"/>
        <v>28055</v>
      </c>
      <c r="X25" s="2">
        <f t="shared" si="2"/>
        <v>28055</v>
      </c>
    </row>
    <row r="26" spans="1:24" x14ac:dyDescent="0.3">
      <c r="A26" t="s">
        <v>49</v>
      </c>
      <c r="B26" t="s">
        <v>90</v>
      </c>
      <c r="C26" s="13">
        <v>7068598</v>
      </c>
      <c r="D26" s="13">
        <v>23708</v>
      </c>
      <c r="E26" s="13">
        <v>33707</v>
      </c>
      <c r="F26" s="13"/>
      <c r="G26" s="12"/>
      <c r="H26" s="12"/>
      <c r="I26" s="12"/>
      <c r="J26" s="13"/>
      <c r="K26" t="s">
        <v>91</v>
      </c>
      <c r="L26" s="13">
        <v>8008658</v>
      </c>
      <c r="N26" t="s">
        <v>92</v>
      </c>
      <c r="O26" s="13">
        <v>31037</v>
      </c>
      <c r="P26" s="13">
        <v>19679</v>
      </c>
      <c r="Q26" s="1"/>
      <c r="R26" s="1"/>
      <c r="S26" s="9"/>
      <c r="T26" s="6"/>
      <c r="U26" s="6" t="str">
        <f t="shared" si="0"/>
        <v>W27</v>
      </c>
      <c r="V26" s="6"/>
      <c r="W26" s="2">
        <f t="shared" si="1"/>
        <v>31037</v>
      </c>
      <c r="X26" s="2">
        <f t="shared" si="2"/>
        <v>31037</v>
      </c>
    </row>
    <row r="27" spans="1:24" x14ac:dyDescent="0.3">
      <c r="A27" t="s">
        <v>63</v>
      </c>
      <c r="B27" t="s">
        <v>93</v>
      </c>
      <c r="C27" s="13">
        <v>7490972</v>
      </c>
      <c r="D27" s="13">
        <v>22642</v>
      </c>
      <c r="E27" s="13">
        <v>37725</v>
      </c>
      <c r="F27" s="13"/>
      <c r="G27" s="12"/>
      <c r="H27" s="12"/>
      <c r="I27" s="12"/>
      <c r="J27" s="13"/>
      <c r="K27" t="s">
        <v>94</v>
      </c>
      <c r="L27" s="13">
        <v>7927081</v>
      </c>
      <c r="N27" t="s">
        <v>95</v>
      </c>
      <c r="O27" s="13">
        <v>29178</v>
      </c>
      <c r="P27" s="13">
        <v>25608</v>
      </c>
      <c r="Q27" s="1"/>
      <c r="R27" s="1"/>
      <c r="S27" s="9"/>
      <c r="T27" s="6"/>
      <c r="U27" s="6" t="str">
        <f t="shared" si="0"/>
        <v>W29</v>
      </c>
      <c r="V27" s="6"/>
      <c r="W27" s="2">
        <f t="shared" si="1"/>
        <v>29178</v>
      </c>
      <c r="X27" s="2">
        <f t="shared" si="2"/>
        <v>29178</v>
      </c>
    </row>
    <row r="28" spans="1:24" x14ac:dyDescent="0.3">
      <c r="A28" t="s">
        <v>63</v>
      </c>
      <c r="B28" t="s">
        <v>96</v>
      </c>
      <c r="C28" s="13">
        <v>7668933</v>
      </c>
      <c r="D28" s="13">
        <v>20488</v>
      </c>
      <c r="E28" s="13">
        <v>22614</v>
      </c>
      <c r="F28" s="13"/>
      <c r="G28" s="12"/>
      <c r="H28" s="12"/>
      <c r="I28" s="12"/>
      <c r="J28" s="13"/>
      <c r="K28" t="s">
        <v>97</v>
      </c>
      <c r="L28" s="13">
        <v>7677146</v>
      </c>
      <c r="N28" t="s">
        <v>98</v>
      </c>
      <c r="O28" s="13">
        <v>32580</v>
      </c>
      <c r="P28" s="13">
        <v>26732</v>
      </c>
      <c r="Q28" s="1"/>
      <c r="R28" s="1"/>
      <c r="S28" s="9"/>
      <c r="T28" s="6"/>
      <c r="U28" s="6" t="str">
        <f t="shared" si="0"/>
        <v>W23</v>
      </c>
      <c r="V28" s="6"/>
      <c r="W28" s="2">
        <f t="shared" si="1"/>
        <v>32580</v>
      </c>
      <c r="X28" s="2">
        <f t="shared" si="2"/>
        <v>32580</v>
      </c>
    </row>
    <row r="29" spans="1:24" x14ac:dyDescent="0.3">
      <c r="A29" t="s">
        <v>99</v>
      </c>
      <c r="B29" t="s">
        <v>100</v>
      </c>
      <c r="C29" s="13">
        <v>7237914</v>
      </c>
      <c r="D29" s="13">
        <v>35066</v>
      </c>
      <c r="E29" s="13">
        <v>29066</v>
      </c>
      <c r="F29" s="13"/>
      <c r="G29" s="12"/>
      <c r="H29" s="12"/>
      <c r="I29" s="12"/>
      <c r="J29" s="13"/>
      <c r="K29" t="s">
        <v>101</v>
      </c>
      <c r="L29" s="13">
        <v>7694275</v>
      </c>
      <c r="N29" t="s">
        <v>55</v>
      </c>
      <c r="O29" s="13">
        <v>25716</v>
      </c>
      <c r="P29" s="13">
        <v>30354</v>
      </c>
      <c r="Q29" s="1"/>
      <c r="R29" s="1"/>
      <c r="S29" s="9"/>
      <c r="T29" s="6"/>
      <c r="U29" s="6" t="str">
        <f t="shared" si="0"/>
        <v>W15</v>
      </c>
      <c r="V29" s="6"/>
      <c r="W29" s="2">
        <f t="shared" si="1"/>
        <v>25716</v>
      </c>
      <c r="X29" s="2">
        <f t="shared" si="2"/>
        <v>25716</v>
      </c>
    </row>
    <row r="30" spans="1:24" x14ac:dyDescent="0.3">
      <c r="A30" t="s">
        <v>63</v>
      </c>
      <c r="B30" t="s">
        <v>102</v>
      </c>
      <c r="C30" s="13">
        <v>7659234</v>
      </c>
      <c r="D30" s="13">
        <v>31401</v>
      </c>
      <c r="E30" s="13">
        <v>38360</v>
      </c>
      <c r="F30" s="13"/>
      <c r="G30" s="12"/>
      <c r="H30" s="12"/>
      <c r="I30" s="12"/>
      <c r="J30" s="13"/>
      <c r="K30" t="s">
        <v>103</v>
      </c>
      <c r="L30" s="13">
        <v>7539457</v>
      </c>
      <c r="N30" t="s">
        <v>104</v>
      </c>
      <c r="O30" s="13">
        <v>23297</v>
      </c>
      <c r="P30" s="13">
        <v>19883</v>
      </c>
      <c r="Q30" s="1"/>
      <c r="R30" s="1"/>
      <c r="S30" s="9"/>
      <c r="T30" s="6"/>
      <c r="U30" s="6" t="str">
        <f t="shared" si="0"/>
        <v>W17</v>
      </c>
      <c r="V30" s="6"/>
      <c r="W30" s="2">
        <f t="shared" si="1"/>
        <v>23297</v>
      </c>
      <c r="X30" s="2">
        <f t="shared" si="2"/>
        <v>23297</v>
      </c>
    </row>
    <row r="31" spans="1:24" x14ac:dyDescent="0.3">
      <c r="A31" t="s">
        <v>105</v>
      </c>
      <c r="B31" t="s">
        <v>106</v>
      </c>
      <c r="C31" s="13">
        <v>7505640</v>
      </c>
      <c r="D31" s="13">
        <v>32953</v>
      </c>
      <c r="E31" s="13">
        <v>25133</v>
      </c>
      <c r="F31" s="13"/>
      <c r="G31" s="12"/>
      <c r="H31" s="12"/>
      <c r="I31" s="12"/>
      <c r="J31" s="13"/>
      <c r="K31" t="s">
        <v>107</v>
      </c>
      <c r="L31" s="13">
        <v>7143655</v>
      </c>
      <c r="N31" t="s">
        <v>108</v>
      </c>
      <c r="O31" s="13">
        <v>33516</v>
      </c>
      <c r="P31" s="13">
        <v>28130</v>
      </c>
      <c r="Q31" s="1"/>
      <c r="R31" s="1"/>
      <c r="S31" s="9"/>
      <c r="T31" s="6"/>
      <c r="U31" s="6" t="str">
        <f t="shared" si="0"/>
        <v>W05</v>
      </c>
      <c r="V31" s="6"/>
      <c r="W31" s="2">
        <f t="shared" si="1"/>
        <v>33516</v>
      </c>
      <c r="X31" s="2">
        <f t="shared" si="2"/>
        <v>33516</v>
      </c>
    </row>
    <row r="32" spans="1:24" x14ac:dyDescent="0.3">
      <c r="A32" t="s">
        <v>109</v>
      </c>
      <c r="B32" t="s">
        <v>110</v>
      </c>
      <c r="C32" s="13">
        <v>7338233</v>
      </c>
      <c r="D32" s="13">
        <v>40860</v>
      </c>
      <c r="E32" s="13">
        <v>26556</v>
      </c>
      <c r="F32" s="13"/>
      <c r="G32" s="12"/>
      <c r="H32" s="12"/>
      <c r="I32" s="12"/>
      <c r="J32" s="13"/>
      <c r="K32" t="s">
        <v>111</v>
      </c>
      <c r="L32" s="13">
        <v>7060774</v>
      </c>
      <c r="N32" t="s">
        <v>112</v>
      </c>
      <c r="O32" s="13">
        <v>39112</v>
      </c>
      <c r="P32" s="13">
        <v>21036</v>
      </c>
      <c r="Q32" s="1"/>
      <c r="R32" s="1"/>
      <c r="S32" s="9"/>
      <c r="T32" s="6"/>
      <c r="U32" s="6" t="str">
        <f t="shared" si="0"/>
        <v>W03</v>
      </c>
      <c r="V32" s="6"/>
      <c r="W32" s="2">
        <f t="shared" si="1"/>
        <v>39112</v>
      </c>
      <c r="X32" s="2">
        <f t="shared" si="2"/>
        <v>39112</v>
      </c>
    </row>
    <row r="33" spans="1:24" x14ac:dyDescent="0.3">
      <c r="A33" t="s">
        <v>45</v>
      </c>
      <c r="B33" t="s">
        <v>113</v>
      </c>
      <c r="C33" s="13">
        <v>7218238</v>
      </c>
      <c r="D33" s="13">
        <v>31365</v>
      </c>
      <c r="E33" s="13">
        <v>26758</v>
      </c>
      <c r="F33" s="13"/>
      <c r="G33" s="12"/>
      <c r="H33" s="12"/>
      <c r="I33" s="12"/>
      <c r="J33" s="13"/>
      <c r="K33" t="s">
        <v>114</v>
      </c>
      <c r="L33" s="13">
        <v>7724778</v>
      </c>
      <c r="N33" t="s">
        <v>115</v>
      </c>
      <c r="O33" s="13">
        <v>35509</v>
      </c>
      <c r="P33" s="13">
        <v>26427</v>
      </c>
      <c r="Q33" s="1"/>
      <c r="R33" s="1"/>
      <c r="S33" s="9"/>
      <c r="T33" s="6"/>
      <c r="U33" s="6" t="str">
        <f t="shared" si="0"/>
        <v>W22</v>
      </c>
      <c r="V33" s="6"/>
      <c r="W33" s="2">
        <f t="shared" si="1"/>
        <v>35509</v>
      </c>
      <c r="X33" s="2">
        <f t="shared" si="2"/>
        <v>35509</v>
      </c>
    </row>
    <row r="34" spans="1:24" x14ac:dyDescent="0.3">
      <c r="A34" t="s">
        <v>41</v>
      </c>
      <c r="B34" t="s">
        <v>116</v>
      </c>
      <c r="C34" s="13">
        <v>7835346</v>
      </c>
      <c r="D34" s="13">
        <v>24383</v>
      </c>
      <c r="E34" s="13">
        <v>22129</v>
      </c>
      <c r="F34" s="13"/>
      <c r="G34" s="12"/>
      <c r="H34" s="12"/>
      <c r="I34" s="12"/>
      <c r="J34" s="13"/>
      <c r="K34" t="s">
        <v>94</v>
      </c>
      <c r="L34" s="13">
        <v>7707094</v>
      </c>
      <c r="N34" t="s">
        <v>117</v>
      </c>
      <c r="O34" s="13">
        <v>28439</v>
      </c>
      <c r="P34" s="13">
        <v>39398</v>
      </c>
      <c r="Q34" s="1"/>
      <c r="R34" s="1"/>
      <c r="S34" s="9"/>
      <c r="T34" s="6"/>
      <c r="U34" s="6" t="str">
        <f t="shared" si="0"/>
        <v>W40</v>
      </c>
      <c r="V34" s="6"/>
      <c r="W34" s="2">
        <f t="shared" si="1"/>
        <v>28439</v>
      </c>
      <c r="X34" s="2">
        <f t="shared" si="2"/>
        <v>28439</v>
      </c>
    </row>
    <row r="35" spans="1:24" x14ac:dyDescent="0.3">
      <c r="A35" t="s">
        <v>59</v>
      </c>
      <c r="B35" t="s">
        <v>118</v>
      </c>
      <c r="C35" s="13">
        <v>7868503</v>
      </c>
      <c r="D35" s="13">
        <v>24809</v>
      </c>
      <c r="E35" s="13">
        <v>21228</v>
      </c>
      <c r="F35" s="13"/>
      <c r="G35" s="12"/>
      <c r="H35" s="12"/>
      <c r="I35" s="12"/>
      <c r="J35" s="13"/>
      <c r="K35" t="s">
        <v>119</v>
      </c>
      <c r="L35" s="13">
        <v>7020725</v>
      </c>
      <c r="N35" t="s">
        <v>69</v>
      </c>
      <c r="O35" s="13">
        <v>19123</v>
      </c>
      <c r="P35" s="13">
        <v>32850</v>
      </c>
      <c r="Q35" s="1"/>
      <c r="R35" s="1"/>
      <c r="S35" s="9"/>
      <c r="T35" s="6"/>
      <c r="U35" s="6" t="str">
        <f t="shared" si="0"/>
        <v>W18</v>
      </c>
      <c r="V35" s="6"/>
      <c r="W35" s="2">
        <f t="shared" si="1"/>
        <v>19123</v>
      </c>
      <c r="X35" s="2">
        <f t="shared" si="2"/>
        <v>19123</v>
      </c>
    </row>
    <row r="36" spans="1:24" x14ac:dyDescent="0.3">
      <c r="A36" t="s">
        <v>49</v>
      </c>
      <c r="B36" t="s">
        <v>120</v>
      </c>
      <c r="C36" s="13">
        <v>7387725</v>
      </c>
      <c r="D36" s="13">
        <v>24801</v>
      </c>
      <c r="E36" s="13">
        <v>33113</v>
      </c>
      <c r="F36" s="13"/>
      <c r="G36" s="12"/>
      <c r="H36" s="12"/>
      <c r="I36" s="12"/>
      <c r="J36" s="13"/>
      <c r="K36" t="s">
        <v>107</v>
      </c>
      <c r="L36" s="13">
        <v>7097946</v>
      </c>
      <c r="N36" t="s">
        <v>121</v>
      </c>
      <c r="O36" s="13">
        <v>25334</v>
      </c>
      <c r="P36" s="13">
        <v>39911</v>
      </c>
      <c r="Q36" s="1"/>
      <c r="R36" s="1"/>
      <c r="S36" s="9"/>
      <c r="T36" s="6"/>
      <c r="U36" s="6" t="str">
        <f t="shared" si="0"/>
        <v>W50</v>
      </c>
      <c r="V36" s="6"/>
      <c r="W36" s="2">
        <f t="shared" si="1"/>
        <v>25334</v>
      </c>
      <c r="X36" s="2">
        <f t="shared" si="2"/>
        <v>25334</v>
      </c>
    </row>
    <row r="37" spans="1:24" x14ac:dyDescent="0.3">
      <c r="A37" t="s">
        <v>49</v>
      </c>
      <c r="B37" t="s">
        <v>122</v>
      </c>
      <c r="C37" s="13">
        <v>7340740</v>
      </c>
      <c r="D37" s="13">
        <v>35564</v>
      </c>
      <c r="E37" s="13">
        <v>27106</v>
      </c>
      <c r="F37" s="13"/>
      <c r="G37" s="12"/>
      <c r="H37" s="12"/>
      <c r="I37" s="12"/>
      <c r="J37" s="13"/>
      <c r="K37" t="s">
        <v>123</v>
      </c>
      <c r="L37" s="13">
        <v>7051142</v>
      </c>
      <c r="N37" t="s">
        <v>124</v>
      </c>
      <c r="O37" s="13">
        <v>19302</v>
      </c>
      <c r="P37" s="13">
        <v>25941</v>
      </c>
      <c r="Q37" s="1"/>
      <c r="R37" s="1"/>
      <c r="S37" s="9"/>
      <c r="T37" s="6" t="str">
        <f>A37</f>
        <v>2026-Q1</v>
      </c>
      <c r="U37" s="6" t="str">
        <f t="shared" si="0"/>
        <v>W27</v>
      </c>
      <c r="V37" s="6"/>
      <c r="W37" s="2">
        <f t="shared" si="1"/>
        <v>19302</v>
      </c>
      <c r="X37" s="2">
        <f t="shared" si="2"/>
        <v>19302</v>
      </c>
    </row>
    <row r="38" spans="1:24" x14ac:dyDescent="0.3">
      <c r="A38" t="s">
        <v>125</v>
      </c>
      <c r="B38" t="s">
        <v>126</v>
      </c>
      <c r="C38" s="13">
        <v>7592877</v>
      </c>
      <c r="D38" s="13">
        <v>38479</v>
      </c>
      <c r="E38" s="13">
        <v>35846</v>
      </c>
      <c r="F38" s="13"/>
      <c r="G38" s="12"/>
      <c r="H38" s="12"/>
      <c r="I38" s="12"/>
      <c r="J38" s="13"/>
      <c r="K38" t="s">
        <v>127</v>
      </c>
      <c r="L38" s="13">
        <v>7827535</v>
      </c>
      <c r="N38" t="s">
        <v>128</v>
      </c>
      <c r="O38" s="13">
        <v>25219</v>
      </c>
      <c r="P38" s="13">
        <v>26532</v>
      </c>
      <c r="Q38" s="1"/>
      <c r="R38" s="1"/>
      <c r="S38" s="9"/>
      <c r="T38" s="6"/>
      <c r="U38" s="6" t="str">
        <f t="shared" si="0"/>
        <v>W42</v>
      </c>
      <c r="V38" s="6"/>
      <c r="W38" s="2">
        <f t="shared" si="1"/>
        <v>25219</v>
      </c>
      <c r="X38" s="2">
        <f t="shared" si="2"/>
        <v>25219</v>
      </c>
    </row>
    <row r="39" spans="1:24" x14ac:dyDescent="0.3">
      <c r="A39" t="s">
        <v>99</v>
      </c>
      <c r="B39" t="s">
        <v>129</v>
      </c>
      <c r="C39" s="13">
        <v>7972512</v>
      </c>
      <c r="D39" s="13">
        <v>38599</v>
      </c>
      <c r="E39" s="13">
        <v>37517</v>
      </c>
      <c r="F39" s="13"/>
      <c r="G39" s="12"/>
      <c r="H39" s="12"/>
      <c r="I39" s="12"/>
      <c r="J39" s="13"/>
      <c r="K39" t="s">
        <v>130</v>
      </c>
      <c r="L39" s="13">
        <v>7905061</v>
      </c>
      <c r="N39" t="s">
        <v>131</v>
      </c>
      <c r="O39" s="13">
        <v>22058</v>
      </c>
      <c r="P39" s="13">
        <v>23197</v>
      </c>
      <c r="Q39" s="1"/>
      <c r="R39" s="1"/>
      <c r="S39" s="9"/>
      <c r="T39" s="6"/>
      <c r="U39" s="6" t="str">
        <f t="shared" si="0"/>
        <v>W47</v>
      </c>
      <c r="V39" s="6"/>
      <c r="W39" s="2">
        <f t="shared" si="1"/>
        <v>22058</v>
      </c>
      <c r="X39" s="2">
        <f t="shared" si="2"/>
        <v>22058</v>
      </c>
    </row>
    <row r="40" spans="1:24" x14ac:dyDescent="0.3">
      <c r="A40" t="s">
        <v>109</v>
      </c>
      <c r="B40" t="s">
        <v>132</v>
      </c>
      <c r="C40" s="13">
        <v>7343141</v>
      </c>
      <c r="D40" s="13">
        <v>22299</v>
      </c>
      <c r="E40" s="13">
        <v>30959</v>
      </c>
      <c r="F40" s="13"/>
      <c r="G40" s="12"/>
      <c r="H40" s="12"/>
      <c r="I40" s="12"/>
      <c r="J40" s="13"/>
      <c r="K40" t="s">
        <v>133</v>
      </c>
      <c r="L40" s="13">
        <v>7124527</v>
      </c>
      <c r="N40" t="s">
        <v>134</v>
      </c>
      <c r="O40" s="13">
        <v>25348</v>
      </c>
      <c r="P40" s="13">
        <v>33809</v>
      </c>
      <c r="Q40" s="1"/>
      <c r="R40" s="1"/>
      <c r="S40" s="9"/>
      <c r="T40" s="6"/>
      <c r="U40" s="6" t="str">
        <f t="shared" si="0"/>
        <v>W34</v>
      </c>
      <c r="V40" s="6"/>
      <c r="W40" s="2">
        <f t="shared" si="1"/>
        <v>25348</v>
      </c>
      <c r="X40" s="2">
        <f t="shared" si="2"/>
        <v>25348</v>
      </c>
    </row>
    <row r="41" spans="1:24" x14ac:dyDescent="0.3">
      <c r="A41" t="s">
        <v>125</v>
      </c>
      <c r="B41" t="s">
        <v>67</v>
      </c>
      <c r="C41" s="13">
        <v>7387174</v>
      </c>
      <c r="D41" s="13">
        <v>39700</v>
      </c>
      <c r="E41" s="13">
        <v>27086</v>
      </c>
      <c r="F41" s="13"/>
      <c r="G41" s="12"/>
      <c r="H41" s="12"/>
      <c r="I41" s="12"/>
      <c r="J41" s="13"/>
      <c r="K41" t="s">
        <v>135</v>
      </c>
      <c r="L41" s="13">
        <v>7807427</v>
      </c>
      <c r="N41" t="s">
        <v>136</v>
      </c>
      <c r="O41" s="13">
        <v>28398</v>
      </c>
      <c r="P41" s="13">
        <v>29667</v>
      </c>
      <c r="Q41" s="1"/>
      <c r="R41" s="1"/>
      <c r="S41" s="9"/>
      <c r="T41" s="6"/>
      <c r="U41" s="6" t="str">
        <f t="shared" si="0"/>
        <v>W50</v>
      </c>
      <c r="V41" s="6"/>
      <c r="W41" s="2">
        <f t="shared" si="1"/>
        <v>28398</v>
      </c>
      <c r="X41" s="2">
        <f t="shared" si="2"/>
        <v>28398</v>
      </c>
    </row>
    <row r="42" spans="1:24" x14ac:dyDescent="0.3">
      <c r="A42" t="s">
        <v>49</v>
      </c>
      <c r="B42" t="s">
        <v>137</v>
      </c>
      <c r="C42" s="13">
        <v>7367554</v>
      </c>
      <c r="D42" s="13">
        <v>37156</v>
      </c>
      <c r="E42" s="13">
        <v>35862</v>
      </c>
      <c r="F42" s="13"/>
      <c r="G42" s="12"/>
      <c r="H42" s="12"/>
      <c r="I42" s="12"/>
      <c r="J42" s="13"/>
      <c r="K42" t="s">
        <v>138</v>
      </c>
      <c r="L42" s="13">
        <v>7338745</v>
      </c>
      <c r="N42" t="s">
        <v>139</v>
      </c>
      <c r="O42" s="13">
        <v>22116</v>
      </c>
      <c r="P42" s="13">
        <v>32559</v>
      </c>
      <c r="Q42" s="1"/>
      <c r="R42" s="1"/>
      <c r="S42" s="9"/>
      <c r="T42" s="6"/>
      <c r="U42" s="6" t="str">
        <f t="shared" si="0"/>
        <v>W15</v>
      </c>
      <c r="V42" s="6"/>
      <c r="W42" s="2">
        <f t="shared" si="1"/>
        <v>22116</v>
      </c>
      <c r="X42" s="2">
        <f t="shared" si="2"/>
        <v>22116</v>
      </c>
    </row>
    <row r="43" spans="1:24" x14ac:dyDescent="0.3">
      <c r="A43" t="s">
        <v>59</v>
      </c>
      <c r="B43" t="s">
        <v>140</v>
      </c>
      <c r="C43" s="13">
        <v>7023085</v>
      </c>
      <c r="D43" s="13">
        <v>23287</v>
      </c>
      <c r="E43" s="13">
        <v>27983</v>
      </c>
      <c r="F43" s="13"/>
      <c r="G43" s="12"/>
      <c r="H43" s="12"/>
      <c r="I43" s="12"/>
      <c r="J43" s="13"/>
      <c r="K43" t="s">
        <v>141</v>
      </c>
      <c r="L43" s="13">
        <v>7960105</v>
      </c>
      <c r="N43" t="s">
        <v>142</v>
      </c>
      <c r="O43" s="13">
        <v>35491</v>
      </c>
      <c r="P43" s="13">
        <v>32085</v>
      </c>
      <c r="Q43" s="1"/>
      <c r="R43" s="1"/>
      <c r="S43" s="9"/>
      <c r="T43" s="6"/>
      <c r="U43" s="6" t="str">
        <f t="shared" ref="U43:U74" si="3">RIGHT(N43,3)</f>
        <v>W33</v>
      </c>
      <c r="V43" s="6"/>
      <c r="W43" s="2">
        <f t="shared" ref="W43:W74" si="4">O43</f>
        <v>35491</v>
      </c>
      <c r="X43" s="2">
        <f t="shared" ref="X43:X74" si="5">W43</f>
        <v>35491</v>
      </c>
    </row>
    <row r="44" spans="1:24" x14ac:dyDescent="0.3">
      <c r="A44" t="s">
        <v>59</v>
      </c>
      <c r="B44" t="s">
        <v>143</v>
      </c>
      <c r="C44" s="13">
        <v>7798552</v>
      </c>
      <c r="D44" s="13">
        <v>36929</v>
      </c>
      <c r="E44" s="13">
        <v>27197</v>
      </c>
      <c r="F44" s="13"/>
      <c r="G44" s="12"/>
      <c r="H44" s="12"/>
      <c r="I44" s="12"/>
      <c r="J44" s="13"/>
      <c r="K44" t="s">
        <v>74</v>
      </c>
      <c r="L44" s="13">
        <v>7286829</v>
      </c>
      <c r="N44" t="s">
        <v>144</v>
      </c>
      <c r="O44" s="13">
        <v>36276</v>
      </c>
      <c r="P44" s="13">
        <v>40129</v>
      </c>
      <c r="Q44" s="1"/>
      <c r="R44" s="1"/>
      <c r="S44" s="9"/>
      <c r="T44" s="6"/>
      <c r="U44" s="6" t="str">
        <f t="shared" si="3"/>
        <v>W52</v>
      </c>
      <c r="V44" s="6"/>
      <c r="W44" s="2">
        <f t="shared" si="4"/>
        <v>36276</v>
      </c>
      <c r="X44" s="2">
        <f t="shared" si="5"/>
        <v>36276</v>
      </c>
    </row>
    <row r="45" spans="1:24" x14ac:dyDescent="0.3">
      <c r="A45" t="s">
        <v>41</v>
      </c>
      <c r="B45" t="s">
        <v>145</v>
      </c>
      <c r="C45" s="13">
        <v>7117065</v>
      </c>
      <c r="D45" s="13">
        <v>29550</v>
      </c>
      <c r="E45" s="13">
        <v>27403</v>
      </c>
      <c r="F45" s="13"/>
      <c r="G45" s="12"/>
      <c r="H45" s="12"/>
      <c r="I45" s="12"/>
      <c r="J45" s="13"/>
      <c r="K45" t="s">
        <v>146</v>
      </c>
      <c r="L45" s="13">
        <v>7603719</v>
      </c>
      <c r="N45" t="s">
        <v>147</v>
      </c>
      <c r="O45" s="13">
        <v>22568</v>
      </c>
      <c r="P45" s="13">
        <v>38573</v>
      </c>
      <c r="Q45" s="1"/>
      <c r="R45" s="1"/>
      <c r="S45" s="9"/>
      <c r="T45" s="6"/>
      <c r="U45" s="6" t="str">
        <f t="shared" si="3"/>
        <v>W41</v>
      </c>
      <c r="V45" s="6"/>
      <c r="W45" s="2">
        <f t="shared" si="4"/>
        <v>22568</v>
      </c>
      <c r="X45" s="2">
        <f t="shared" si="5"/>
        <v>22568</v>
      </c>
    </row>
    <row r="46" spans="1:24" x14ac:dyDescent="0.3">
      <c r="A46" t="s">
        <v>45</v>
      </c>
      <c r="B46" t="s">
        <v>96</v>
      </c>
      <c r="C46" s="13">
        <v>7296009</v>
      </c>
      <c r="D46" s="13">
        <v>28410</v>
      </c>
      <c r="E46" s="13">
        <v>31103</v>
      </c>
      <c r="F46" s="13"/>
      <c r="G46" s="12"/>
      <c r="H46" s="12"/>
      <c r="I46" s="12"/>
      <c r="J46" s="13"/>
      <c r="K46" t="s">
        <v>148</v>
      </c>
      <c r="L46" s="13">
        <v>7809078</v>
      </c>
      <c r="N46" t="s">
        <v>149</v>
      </c>
      <c r="O46" s="13">
        <v>25907</v>
      </c>
      <c r="P46" s="13">
        <v>34411</v>
      </c>
      <c r="Q46" s="1"/>
      <c r="R46" s="1"/>
      <c r="S46" s="9"/>
      <c r="T46" s="6"/>
      <c r="U46" s="6" t="str">
        <f t="shared" si="3"/>
        <v>W40</v>
      </c>
      <c r="V46" s="6"/>
      <c r="W46" s="2">
        <f t="shared" si="4"/>
        <v>25907</v>
      </c>
      <c r="X46" s="2">
        <f t="shared" si="5"/>
        <v>25907</v>
      </c>
    </row>
    <row r="47" spans="1:24" x14ac:dyDescent="0.3">
      <c r="A47" t="s">
        <v>78</v>
      </c>
      <c r="B47" t="s">
        <v>150</v>
      </c>
      <c r="C47" s="13">
        <v>7605799</v>
      </c>
      <c r="D47" s="13">
        <v>20335</v>
      </c>
      <c r="E47" s="13">
        <v>22810</v>
      </c>
      <c r="F47" s="13"/>
      <c r="G47" s="12"/>
      <c r="H47" s="12"/>
      <c r="I47" s="12"/>
      <c r="J47" s="13"/>
      <c r="K47" t="s">
        <v>151</v>
      </c>
      <c r="L47" s="13">
        <v>7433589</v>
      </c>
      <c r="N47" t="s">
        <v>152</v>
      </c>
      <c r="O47" s="13">
        <v>36648</v>
      </c>
      <c r="P47" s="13">
        <v>37444</v>
      </c>
      <c r="Q47" s="1"/>
      <c r="R47" s="1"/>
      <c r="S47" s="9"/>
      <c r="T47" s="6"/>
      <c r="U47" s="6" t="str">
        <f t="shared" si="3"/>
        <v>W52</v>
      </c>
      <c r="V47" s="6"/>
      <c r="W47" s="2">
        <f t="shared" si="4"/>
        <v>36648</v>
      </c>
      <c r="X47" s="2">
        <f t="shared" si="5"/>
        <v>36648</v>
      </c>
    </row>
    <row r="48" spans="1:24" x14ac:dyDescent="0.3">
      <c r="A48" t="s">
        <v>41</v>
      </c>
      <c r="B48" t="s">
        <v>153</v>
      </c>
      <c r="C48" s="13">
        <v>7705752</v>
      </c>
      <c r="D48" s="13">
        <v>28993</v>
      </c>
      <c r="E48" s="13">
        <v>35886</v>
      </c>
      <c r="F48" s="13"/>
      <c r="G48" s="12"/>
      <c r="H48" s="12"/>
      <c r="I48" s="12"/>
      <c r="J48" s="13"/>
      <c r="K48" t="s">
        <v>154</v>
      </c>
      <c r="L48" s="13">
        <v>7048548</v>
      </c>
      <c r="N48" t="s">
        <v>58</v>
      </c>
      <c r="O48" s="13">
        <v>26806</v>
      </c>
      <c r="P48" s="13">
        <v>34280</v>
      </c>
      <c r="Q48" s="1"/>
      <c r="R48" s="1"/>
      <c r="S48" s="9"/>
      <c r="T48" s="6"/>
      <c r="U48" s="6" t="str">
        <f t="shared" si="3"/>
        <v>W04</v>
      </c>
      <c r="V48" s="6"/>
      <c r="W48" s="2">
        <f t="shared" si="4"/>
        <v>26806</v>
      </c>
      <c r="X48" s="2">
        <f t="shared" si="5"/>
        <v>26806</v>
      </c>
    </row>
    <row r="49" spans="1:24" x14ac:dyDescent="0.3">
      <c r="A49" t="s">
        <v>45</v>
      </c>
      <c r="B49" t="s">
        <v>155</v>
      </c>
      <c r="C49" s="13">
        <v>7082907</v>
      </c>
      <c r="D49" s="13">
        <v>36326</v>
      </c>
      <c r="E49" s="13">
        <v>30608</v>
      </c>
      <c r="F49" s="13"/>
      <c r="G49" s="12"/>
      <c r="H49" s="12"/>
      <c r="I49" s="12"/>
      <c r="J49" s="13"/>
      <c r="K49" t="s">
        <v>68</v>
      </c>
      <c r="L49" s="13">
        <v>7698542</v>
      </c>
      <c r="N49" t="s">
        <v>156</v>
      </c>
      <c r="O49" s="13">
        <v>30154</v>
      </c>
      <c r="P49" s="13">
        <v>29372</v>
      </c>
      <c r="Q49" s="1"/>
      <c r="R49" s="1"/>
      <c r="S49" s="9"/>
      <c r="T49" s="6"/>
      <c r="U49" s="6" t="str">
        <f t="shared" si="3"/>
        <v>W30</v>
      </c>
      <c r="V49" s="6"/>
      <c r="W49" s="2">
        <f t="shared" si="4"/>
        <v>30154</v>
      </c>
      <c r="X49" s="2">
        <f t="shared" si="5"/>
        <v>30154</v>
      </c>
    </row>
    <row r="50" spans="1:24" x14ac:dyDescent="0.3">
      <c r="A50" t="s">
        <v>105</v>
      </c>
      <c r="B50" t="s">
        <v>157</v>
      </c>
      <c r="C50" s="13">
        <v>7811338</v>
      </c>
      <c r="D50" s="13">
        <v>31466</v>
      </c>
      <c r="E50" s="13">
        <v>38051</v>
      </c>
      <c r="F50" s="13"/>
      <c r="G50" s="12"/>
      <c r="H50" s="12"/>
      <c r="I50" s="12"/>
      <c r="J50" s="13"/>
      <c r="K50" t="s">
        <v>158</v>
      </c>
      <c r="L50" s="13">
        <v>7024673</v>
      </c>
      <c r="N50" t="s">
        <v>65</v>
      </c>
      <c r="O50" s="13">
        <v>37445</v>
      </c>
      <c r="P50" s="13">
        <v>22241</v>
      </c>
      <c r="Q50" s="1"/>
      <c r="R50" s="1"/>
      <c r="S50" s="9"/>
      <c r="T50" s="6" t="str">
        <f>A50</f>
        <v>2025-Q1</v>
      </c>
      <c r="U50" s="6" t="str">
        <f t="shared" si="3"/>
        <v>W09</v>
      </c>
      <c r="V50" s="6"/>
      <c r="W50" s="2">
        <f t="shared" si="4"/>
        <v>37445</v>
      </c>
      <c r="X50" s="2">
        <f t="shared" si="5"/>
        <v>37445</v>
      </c>
    </row>
    <row r="51" spans="1:24" x14ac:dyDescent="0.3">
      <c r="A51" t="s">
        <v>45</v>
      </c>
      <c r="B51" t="s">
        <v>159</v>
      </c>
      <c r="C51" s="13">
        <v>7313781</v>
      </c>
      <c r="D51" s="13">
        <v>34561</v>
      </c>
      <c r="E51" s="13">
        <v>23976</v>
      </c>
      <c r="F51" s="13"/>
      <c r="G51" s="12"/>
      <c r="H51" s="12"/>
      <c r="I51" s="12"/>
      <c r="J51" s="13"/>
      <c r="K51" t="s">
        <v>146</v>
      </c>
      <c r="L51" s="13">
        <v>7959145</v>
      </c>
      <c r="N51" t="s">
        <v>68</v>
      </c>
      <c r="O51" s="13">
        <v>38656</v>
      </c>
      <c r="P51" s="13">
        <v>29680</v>
      </c>
      <c r="Q51" s="1"/>
      <c r="R51" s="1"/>
      <c r="S51" s="9"/>
      <c r="T51" s="6"/>
      <c r="U51" s="6" t="str">
        <f t="shared" si="3"/>
        <v>W50</v>
      </c>
      <c r="V51" s="6"/>
      <c r="W51" s="2">
        <f t="shared" si="4"/>
        <v>38656</v>
      </c>
      <c r="X51" s="2">
        <f t="shared" si="5"/>
        <v>38656</v>
      </c>
    </row>
    <row r="52" spans="1:24" x14ac:dyDescent="0.3">
      <c r="A52" t="s">
        <v>49</v>
      </c>
      <c r="B52" t="s">
        <v>160</v>
      </c>
      <c r="C52" s="13">
        <v>7692854</v>
      </c>
      <c r="D52" s="13">
        <v>34529</v>
      </c>
      <c r="E52" s="13">
        <v>34513</v>
      </c>
      <c r="F52" s="13"/>
      <c r="G52" s="12"/>
      <c r="H52" s="12"/>
      <c r="I52" s="12"/>
      <c r="J52" s="13"/>
      <c r="K52" t="s">
        <v>161</v>
      </c>
      <c r="L52" s="13">
        <v>7872000</v>
      </c>
      <c r="N52" t="s">
        <v>162</v>
      </c>
      <c r="O52" s="13">
        <v>36813</v>
      </c>
      <c r="P52" s="13">
        <v>36173</v>
      </c>
      <c r="Q52" s="1"/>
      <c r="R52" s="1"/>
      <c r="S52" s="9"/>
      <c r="T52" s="6"/>
      <c r="U52" s="6" t="str">
        <f t="shared" si="3"/>
        <v>W23</v>
      </c>
      <c r="V52" s="6"/>
      <c r="W52" s="2">
        <f t="shared" si="4"/>
        <v>36813</v>
      </c>
      <c r="X52" s="2">
        <f t="shared" si="5"/>
        <v>36813</v>
      </c>
    </row>
    <row r="53" spans="1:24" x14ac:dyDescent="0.3">
      <c r="A53" t="s">
        <v>78</v>
      </c>
      <c r="B53" t="s">
        <v>163</v>
      </c>
      <c r="C53" s="13">
        <v>7020252</v>
      </c>
      <c r="D53" s="13">
        <v>27713</v>
      </c>
      <c r="E53" s="13">
        <v>26975</v>
      </c>
      <c r="F53" s="13"/>
      <c r="G53" s="12"/>
      <c r="H53" s="12"/>
      <c r="I53" s="12"/>
      <c r="J53" s="13"/>
      <c r="K53" t="s">
        <v>164</v>
      </c>
      <c r="L53" s="13">
        <v>7701365</v>
      </c>
      <c r="N53" t="s">
        <v>165</v>
      </c>
      <c r="O53" s="13">
        <v>37907</v>
      </c>
      <c r="P53" s="13">
        <v>37318</v>
      </c>
      <c r="Q53" s="1"/>
      <c r="R53" s="1"/>
      <c r="S53" s="9"/>
      <c r="T53" s="6"/>
      <c r="U53" s="6" t="str">
        <f t="shared" si="3"/>
        <v>W18</v>
      </c>
      <c r="V53" s="6"/>
      <c r="W53" s="2">
        <f t="shared" si="4"/>
        <v>37907</v>
      </c>
      <c r="X53" s="2">
        <f t="shared" si="5"/>
        <v>37907</v>
      </c>
    </row>
    <row r="54" spans="1:24" x14ac:dyDescent="0.3">
      <c r="A54" t="s">
        <v>78</v>
      </c>
      <c r="B54" t="s">
        <v>166</v>
      </c>
      <c r="C54" s="13">
        <v>7614081</v>
      </c>
      <c r="D54" s="13">
        <v>29427</v>
      </c>
      <c r="E54" s="13">
        <v>30856</v>
      </c>
      <c r="F54" s="13"/>
      <c r="G54" s="12"/>
      <c r="H54" s="12"/>
      <c r="I54" s="12"/>
      <c r="J54" s="13"/>
      <c r="K54" t="s">
        <v>97</v>
      </c>
      <c r="L54" s="13">
        <v>7372540</v>
      </c>
      <c r="N54" t="s">
        <v>162</v>
      </c>
      <c r="O54" s="13">
        <v>29126</v>
      </c>
      <c r="P54" s="13">
        <v>22956</v>
      </c>
      <c r="Q54" s="1"/>
      <c r="R54" s="1"/>
      <c r="S54" s="9"/>
      <c r="T54" s="6"/>
      <c r="U54" s="6" t="str">
        <f t="shared" si="3"/>
        <v>W23</v>
      </c>
      <c r="V54" s="6"/>
      <c r="W54" s="2">
        <f t="shared" si="4"/>
        <v>29126</v>
      </c>
      <c r="X54" s="2">
        <f t="shared" si="5"/>
        <v>29126</v>
      </c>
    </row>
    <row r="55" spans="1:24" x14ac:dyDescent="0.3">
      <c r="A55" t="s">
        <v>59</v>
      </c>
      <c r="B55" t="s">
        <v>50</v>
      </c>
      <c r="C55" s="13">
        <v>7921665</v>
      </c>
      <c r="D55" s="13">
        <v>35649</v>
      </c>
      <c r="E55" s="13">
        <v>38805</v>
      </c>
      <c r="F55" s="13"/>
      <c r="G55" s="12"/>
      <c r="H55" s="12"/>
      <c r="I55" s="12"/>
      <c r="J55" s="13"/>
      <c r="K55" t="s">
        <v>167</v>
      </c>
      <c r="L55" s="13">
        <v>7919286</v>
      </c>
      <c r="N55" t="s">
        <v>168</v>
      </c>
      <c r="O55" s="13">
        <v>35922</v>
      </c>
      <c r="P55" s="13">
        <v>29785</v>
      </c>
      <c r="Q55" s="1"/>
      <c r="R55" s="1"/>
      <c r="S55" s="9"/>
      <c r="T55" s="6"/>
      <c r="U55" s="6" t="str">
        <f t="shared" si="3"/>
        <v>W01</v>
      </c>
      <c r="V55" s="6"/>
      <c r="W55" s="2">
        <f t="shared" si="4"/>
        <v>35922</v>
      </c>
      <c r="X55" s="2">
        <f t="shared" si="5"/>
        <v>35922</v>
      </c>
    </row>
    <row r="56" spans="1:24" x14ac:dyDescent="0.3">
      <c r="A56" t="s">
        <v>49</v>
      </c>
      <c r="B56" t="s">
        <v>169</v>
      </c>
      <c r="C56" s="13">
        <v>7581580</v>
      </c>
      <c r="D56" s="13">
        <v>36125</v>
      </c>
      <c r="E56" s="13">
        <v>28510</v>
      </c>
      <c r="F56" s="13"/>
      <c r="G56" s="12"/>
      <c r="H56" s="12"/>
      <c r="I56" s="12"/>
      <c r="J56" s="13"/>
      <c r="K56" t="s">
        <v>170</v>
      </c>
      <c r="L56" s="13">
        <v>7660816</v>
      </c>
      <c r="N56" t="s">
        <v>104</v>
      </c>
      <c r="O56" s="13">
        <v>38358</v>
      </c>
      <c r="P56" s="13">
        <v>32819</v>
      </c>
      <c r="Q56" s="1"/>
      <c r="R56" s="1"/>
      <c r="S56" s="9"/>
      <c r="T56" s="6"/>
      <c r="U56" s="6" t="str">
        <f t="shared" si="3"/>
        <v>W17</v>
      </c>
      <c r="V56" s="6"/>
      <c r="W56" s="2">
        <f t="shared" si="4"/>
        <v>38358</v>
      </c>
      <c r="X56" s="2">
        <f t="shared" si="5"/>
        <v>38358</v>
      </c>
    </row>
    <row r="57" spans="1:24" x14ac:dyDescent="0.3">
      <c r="A57" t="s">
        <v>53</v>
      </c>
      <c r="B57" t="s">
        <v>171</v>
      </c>
      <c r="C57" s="13">
        <v>7063071</v>
      </c>
      <c r="D57" s="13">
        <v>22297</v>
      </c>
      <c r="E57" s="13">
        <v>32156</v>
      </c>
      <c r="F57" s="13"/>
      <c r="G57" s="12"/>
      <c r="H57" s="12"/>
      <c r="I57" s="12"/>
      <c r="J57" s="13"/>
      <c r="K57" t="s">
        <v>172</v>
      </c>
      <c r="L57" s="13">
        <v>7380314</v>
      </c>
      <c r="N57" t="s">
        <v>146</v>
      </c>
      <c r="O57" s="13">
        <v>35149</v>
      </c>
      <c r="P57" s="13">
        <v>30967</v>
      </c>
      <c r="Q57" s="1"/>
      <c r="R57" s="1"/>
      <c r="S57" s="9"/>
      <c r="T57" s="6"/>
      <c r="U57" s="6" t="str">
        <f t="shared" si="3"/>
        <v>W08</v>
      </c>
      <c r="V57" s="6"/>
      <c r="W57" s="2">
        <f t="shared" si="4"/>
        <v>35149</v>
      </c>
      <c r="X57" s="2">
        <f t="shared" si="5"/>
        <v>35149</v>
      </c>
    </row>
    <row r="58" spans="1:24" x14ac:dyDescent="0.3">
      <c r="A58" t="s">
        <v>78</v>
      </c>
      <c r="B58" t="s">
        <v>173</v>
      </c>
      <c r="C58" s="13">
        <v>7255331</v>
      </c>
      <c r="D58" s="13">
        <v>31883</v>
      </c>
      <c r="E58" s="13">
        <v>31108</v>
      </c>
      <c r="F58" s="13"/>
      <c r="G58" s="12"/>
      <c r="H58" s="12"/>
      <c r="I58" s="12"/>
      <c r="J58" s="13"/>
      <c r="K58" t="s">
        <v>61</v>
      </c>
      <c r="L58" s="13">
        <v>7710445</v>
      </c>
      <c r="N58" t="s">
        <v>174</v>
      </c>
      <c r="O58" s="13">
        <v>29885</v>
      </c>
      <c r="P58" s="13">
        <v>23792</v>
      </c>
      <c r="Q58" s="1"/>
      <c r="R58" s="1"/>
      <c r="S58" s="9"/>
      <c r="T58" s="6"/>
      <c r="U58" s="6" t="str">
        <f t="shared" si="3"/>
        <v>W11</v>
      </c>
      <c r="V58" s="6"/>
      <c r="W58" s="2">
        <f t="shared" si="4"/>
        <v>29885</v>
      </c>
      <c r="X58" s="2">
        <f t="shared" si="5"/>
        <v>29885</v>
      </c>
    </row>
    <row r="59" spans="1:24" x14ac:dyDescent="0.3">
      <c r="A59" t="s">
        <v>63</v>
      </c>
      <c r="B59" t="s">
        <v>175</v>
      </c>
      <c r="C59" s="13">
        <v>7068693</v>
      </c>
      <c r="D59" s="13">
        <v>37052</v>
      </c>
      <c r="E59" s="13">
        <v>32012</v>
      </c>
      <c r="F59" s="13"/>
      <c r="G59" s="12"/>
      <c r="H59" s="12"/>
      <c r="I59" s="12"/>
      <c r="J59" s="13"/>
      <c r="K59" t="s">
        <v>176</v>
      </c>
      <c r="L59" s="13">
        <v>7591296</v>
      </c>
      <c r="N59" t="s">
        <v>177</v>
      </c>
      <c r="O59" s="13">
        <v>31925</v>
      </c>
      <c r="P59" s="13">
        <v>30920</v>
      </c>
      <c r="Q59" s="1"/>
      <c r="R59" s="1"/>
      <c r="S59" s="9"/>
      <c r="T59" s="6"/>
      <c r="U59" s="6" t="str">
        <f t="shared" si="3"/>
        <v>W23</v>
      </c>
      <c r="V59" s="6"/>
      <c r="W59" s="2">
        <f t="shared" si="4"/>
        <v>31925</v>
      </c>
      <c r="X59" s="2">
        <f t="shared" si="5"/>
        <v>31925</v>
      </c>
    </row>
    <row r="60" spans="1:24" x14ac:dyDescent="0.3">
      <c r="A60" t="s">
        <v>59</v>
      </c>
      <c r="B60" t="s">
        <v>178</v>
      </c>
      <c r="C60" s="13">
        <v>7679766</v>
      </c>
      <c r="D60" s="13">
        <v>31939</v>
      </c>
      <c r="E60" s="13">
        <v>32082</v>
      </c>
      <c r="F60" s="13"/>
      <c r="G60" s="1"/>
      <c r="H60" s="1"/>
      <c r="I60" s="1"/>
      <c r="J60" s="13"/>
      <c r="K60" t="s">
        <v>179</v>
      </c>
      <c r="L60" s="13">
        <v>7361240</v>
      </c>
      <c r="N60" t="s">
        <v>88</v>
      </c>
      <c r="O60" s="13">
        <v>22715</v>
      </c>
      <c r="P60" s="13">
        <v>31532</v>
      </c>
      <c r="Q60" s="1"/>
      <c r="R60" s="1"/>
      <c r="S60" s="9"/>
      <c r="T60" s="6"/>
      <c r="U60" s="6" t="str">
        <f t="shared" si="3"/>
        <v>W48</v>
      </c>
      <c r="V60" s="6"/>
      <c r="W60" s="2">
        <f t="shared" si="4"/>
        <v>22715</v>
      </c>
      <c r="X60" s="2">
        <f t="shared" si="5"/>
        <v>22715</v>
      </c>
    </row>
    <row r="61" spans="1:24" x14ac:dyDescent="0.3">
      <c r="A61" t="s">
        <v>78</v>
      </c>
      <c r="B61" t="s">
        <v>180</v>
      </c>
      <c r="C61" s="13">
        <v>7672470</v>
      </c>
      <c r="D61" s="13">
        <v>25121</v>
      </c>
      <c r="E61" s="13">
        <v>29532</v>
      </c>
      <c r="F61" s="13"/>
      <c r="G61" s="1"/>
      <c r="H61" s="1"/>
      <c r="I61" s="1"/>
      <c r="J61" s="13"/>
      <c r="K61" t="s">
        <v>138</v>
      </c>
      <c r="L61" s="13">
        <v>7241618</v>
      </c>
      <c r="N61" t="s">
        <v>172</v>
      </c>
      <c r="O61" s="13">
        <v>20412</v>
      </c>
      <c r="P61" s="13">
        <v>25731</v>
      </c>
      <c r="Q61" s="1"/>
      <c r="R61" s="1"/>
      <c r="S61" s="9"/>
      <c r="T61" s="6"/>
      <c r="U61" s="6" t="str">
        <f t="shared" si="3"/>
        <v>W04</v>
      </c>
      <c r="V61" s="6"/>
      <c r="W61" s="2">
        <f t="shared" si="4"/>
        <v>20412</v>
      </c>
      <c r="X61" s="2">
        <f t="shared" si="5"/>
        <v>20412</v>
      </c>
    </row>
    <row r="62" spans="1:24" x14ac:dyDescent="0.3">
      <c r="A62" t="s">
        <v>45</v>
      </c>
      <c r="B62" t="s">
        <v>181</v>
      </c>
      <c r="C62" s="13">
        <v>7833390</v>
      </c>
      <c r="D62" s="13">
        <v>24893</v>
      </c>
      <c r="E62" s="13">
        <v>37366</v>
      </c>
      <c r="F62" s="13"/>
      <c r="G62" s="1"/>
      <c r="H62" s="1"/>
      <c r="I62" s="1"/>
      <c r="J62" s="13"/>
      <c r="K62" t="s">
        <v>156</v>
      </c>
      <c r="L62" s="13">
        <v>7842625</v>
      </c>
      <c r="N62" t="s">
        <v>182</v>
      </c>
      <c r="O62" s="13">
        <v>23195</v>
      </c>
      <c r="P62" s="13">
        <v>29664</v>
      </c>
      <c r="Q62" s="1"/>
      <c r="R62" s="1"/>
      <c r="S62" s="9"/>
      <c r="T62" s="6"/>
      <c r="U62" s="6" t="str">
        <f t="shared" si="3"/>
        <v>W39</v>
      </c>
      <c r="V62" s="6"/>
      <c r="W62" s="2">
        <f t="shared" si="4"/>
        <v>23195</v>
      </c>
      <c r="X62" s="2">
        <f t="shared" si="5"/>
        <v>23195</v>
      </c>
    </row>
    <row r="63" spans="1:24" x14ac:dyDescent="0.3">
      <c r="A63" t="s">
        <v>59</v>
      </c>
      <c r="B63" t="s">
        <v>183</v>
      </c>
      <c r="C63" s="13">
        <v>7446085</v>
      </c>
      <c r="D63" s="13">
        <v>27122</v>
      </c>
      <c r="E63" s="13">
        <v>34013</v>
      </c>
      <c r="F63" s="13"/>
      <c r="G63" s="12"/>
      <c r="H63" s="12"/>
      <c r="I63" s="12"/>
      <c r="J63" s="13"/>
      <c r="K63" t="s">
        <v>184</v>
      </c>
      <c r="L63" s="13">
        <v>7792412</v>
      </c>
      <c r="N63" t="s">
        <v>185</v>
      </c>
      <c r="O63" s="13">
        <v>31414</v>
      </c>
      <c r="P63" s="13">
        <v>33812</v>
      </c>
      <c r="Q63" s="1"/>
      <c r="R63" s="1"/>
      <c r="S63" s="9"/>
      <c r="T63" s="6" t="str">
        <f>A63</f>
        <v>2026-Q3</v>
      </c>
      <c r="U63" s="6" t="str">
        <f t="shared" si="3"/>
        <v>W45</v>
      </c>
      <c r="V63" s="6"/>
      <c r="W63" s="2">
        <f t="shared" si="4"/>
        <v>31414</v>
      </c>
      <c r="X63" s="2">
        <f t="shared" si="5"/>
        <v>31414</v>
      </c>
    </row>
    <row r="64" spans="1:24" x14ac:dyDescent="0.3">
      <c r="A64" t="s">
        <v>99</v>
      </c>
      <c r="B64" t="s">
        <v>87</v>
      </c>
      <c r="C64" s="13">
        <v>7556564</v>
      </c>
      <c r="D64" s="13">
        <v>33629</v>
      </c>
      <c r="E64" s="13">
        <v>32775</v>
      </c>
      <c r="F64" s="13"/>
      <c r="G64" s="12"/>
      <c r="H64" s="12"/>
      <c r="I64" s="12"/>
      <c r="J64" s="13"/>
      <c r="K64" t="s">
        <v>95</v>
      </c>
      <c r="L64" s="13">
        <v>7828983</v>
      </c>
      <c r="N64" t="s">
        <v>186</v>
      </c>
      <c r="O64" s="13">
        <v>22148</v>
      </c>
      <c r="P64" s="13">
        <v>35446</v>
      </c>
      <c r="Q64" s="1"/>
      <c r="R64" s="1"/>
      <c r="S64" s="9"/>
      <c r="T64" s="6"/>
      <c r="U64" s="6" t="str">
        <f t="shared" si="3"/>
        <v>W42</v>
      </c>
      <c r="V64" s="6"/>
      <c r="W64" s="2">
        <f t="shared" si="4"/>
        <v>22148</v>
      </c>
      <c r="X64" s="2">
        <f t="shared" si="5"/>
        <v>22148</v>
      </c>
    </row>
    <row r="65" spans="1:24" x14ac:dyDescent="0.3">
      <c r="A65" t="s">
        <v>41</v>
      </c>
      <c r="B65" t="s">
        <v>187</v>
      </c>
      <c r="C65" s="13">
        <v>7792414</v>
      </c>
      <c r="D65" s="13">
        <v>25281</v>
      </c>
      <c r="E65" s="13">
        <v>25780</v>
      </c>
      <c r="F65" s="13"/>
      <c r="G65" s="12"/>
      <c r="H65" s="12"/>
      <c r="I65" s="12"/>
      <c r="J65" s="13"/>
      <c r="K65" t="s">
        <v>188</v>
      </c>
      <c r="L65" s="13">
        <v>7076881</v>
      </c>
      <c r="N65" t="s">
        <v>189</v>
      </c>
      <c r="O65" s="13">
        <v>35086</v>
      </c>
      <c r="P65" s="13">
        <v>24689</v>
      </c>
      <c r="Q65" s="1"/>
      <c r="R65" s="1"/>
      <c r="S65" s="9"/>
      <c r="T65" s="6"/>
      <c r="U65" s="6" t="str">
        <f t="shared" si="3"/>
        <v>W43</v>
      </c>
      <c r="V65" s="6"/>
      <c r="W65" s="2">
        <f t="shared" si="4"/>
        <v>35086</v>
      </c>
      <c r="X65" s="2">
        <f t="shared" si="5"/>
        <v>35086</v>
      </c>
    </row>
    <row r="66" spans="1:24" x14ac:dyDescent="0.3">
      <c r="A66" t="s">
        <v>109</v>
      </c>
      <c r="B66" t="s">
        <v>190</v>
      </c>
      <c r="C66" s="13">
        <v>7451800</v>
      </c>
      <c r="D66" s="13">
        <v>23680</v>
      </c>
      <c r="E66" s="13">
        <v>31336</v>
      </c>
      <c r="F66" s="13"/>
      <c r="G66" s="12"/>
      <c r="H66" s="12"/>
      <c r="I66" s="12"/>
      <c r="J66" s="13"/>
      <c r="K66" t="s">
        <v>149</v>
      </c>
      <c r="L66" s="13">
        <v>7674240</v>
      </c>
      <c r="N66" t="s">
        <v>139</v>
      </c>
      <c r="O66" s="13">
        <v>26907</v>
      </c>
      <c r="P66" s="13">
        <v>31590</v>
      </c>
      <c r="Q66" s="1"/>
      <c r="R66" s="1"/>
      <c r="S66" s="9"/>
      <c r="T66" s="6"/>
      <c r="U66" s="6" t="str">
        <f t="shared" si="3"/>
        <v>W15</v>
      </c>
      <c r="V66" s="6"/>
      <c r="W66" s="2">
        <f t="shared" si="4"/>
        <v>26907</v>
      </c>
      <c r="X66" s="2">
        <f t="shared" si="5"/>
        <v>26907</v>
      </c>
    </row>
    <row r="67" spans="1:24" x14ac:dyDescent="0.3">
      <c r="A67" t="s">
        <v>125</v>
      </c>
      <c r="B67" t="s">
        <v>191</v>
      </c>
      <c r="C67" s="13">
        <v>7792545</v>
      </c>
      <c r="D67" s="13">
        <v>22857</v>
      </c>
      <c r="E67" s="13">
        <v>32876</v>
      </c>
      <c r="F67" s="13"/>
      <c r="G67" s="12"/>
      <c r="H67" s="12"/>
      <c r="I67" s="12"/>
      <c r="J67" s="13"/>
      <c r="K67" t="s">
        <v>192</v>
      </c>
      <c r="L67" s="13">
        <v>7616372</v>
      </c>
      <c r="N67" t="s">
        <v>164</v>
      </c>
      <c r="O67" s="13">
        <v>35208</v>
      </c>
      <c r="P67" s="13">
        <v>26265</v>
      </c>
      <c r="Q67" s="1"/>
      <c r="R67" s="1"/>
      <c r="S67" s="9"/>
      <c r="T67" s="6"/>
      <c r="U67" s="6" t="str">
        <f t="shared" si="3"/>
        <v>W48</v>
      </c>
      <c r="V67" s="6"/>
      <c r="W67" s="2">
        <f t="shared" si="4"/>
        <v>35208</v>
      </c>
      <c r="X67" s="2">
        <f t="shared" si="5"/>
        <v>35208</v>
      </c>
    </row>
    <row r="68" spans="1:24" x14ac:dyDescent="0.3">
      <c r="A68" t="s">
        <v>49</v>
      </c>
      <c r="B68" t="s">
        <v>150</v>
      </c>
      <c r="C68" s="13">
        <v>8002114</v>
      </c>
      <c r="D68" s="13">
        <v>36187</v>
      </c>
      <c r="E68" s="13">
        <v>29167</v>
      </c>
      <c r="F68" s="13"/>
      <c r="G68" s="12"/>
      <c r="H68" s="12"/>
      <c r="I68" s="12"/>
      <c r="J68" s="13"/>
      <c r="K68" t="s">
        <v>184</v>
      </c>
      <c r="L68" s="13">
        <v>7364407</v>
      </c>
      <c r="N68" t="s">
        <v>101</v>
      </c>
      <c r="O68" s="13">
        <v>24243</v>
      </c>
      <c r="P68" s="13">
        <v>35859</v>
      </c>
      <c r="Q68" s="1"/>
      <c r="R68" s="1"/>
      <c r="S68" s="9"/>
      <c r="T68" s="6"/>
      <c r="U68" s="6" t="str">
        <f t="shared" si="3"/>
        <v>W11</v>
      </c>
      <c r="V68" s="6"/>
      <c r="W68" s="2">
        <f t="shared" si="4"/>
        <v>24243</v>
      </c>
      <c r="X68" s="2">
        <f t="shared" si="5"/>
        <v>24243</v>
      </c>
    </row>
    <row r="69" spans="1:24" x14ac:dyDescent="0.3">
      <c r="A69" t="s">
        <v>105</v>
      </c>
      <c r="B69" t="s">
        <v>193</v>
      </c>
      <c r="C69" s="13">
        <v>7578545</v>
      </c>
      <c r="D69" s="13">
        <v>36366</v>
      </c>
      <c r="E69" s="13">
        <v>37305</v>
      </c>
      <c r="F69" s="13"/>
      <c r="G69" s="12"/>
      <c r="H69" s="12"/>
      <c r="I69" s="12"/>
      <c r="J69" s="13"/>
      <c r="K69" t="s">
        <v>194</v>
      </c>
      <c r="L69" s="13">
        <v>7955036</v>
      </c>
      <c r="N69" t="s">
        <v>194</v>
      </c>
      <c r="O69" s="13">
        <v>30562</v>
      </c>
      <c r="P69" s="13">
        <v>35645</v>
      </c>
      <c r="Q69" s="1"/>
      <c r="R69" s="1"/>
      <c r="S69" s="9"/>
      <c r="T69" s="6"/>
      <c r="U69" s="6" t="str">
        <f t="shared" si="3"/>
        <v>W13</v>
      </c>
      <c r="V69" s="6"/>
      <c r="W69" s="2">
        <f t="shared" si="4"/>
        <v>30562</v>
      </c>
      <c r="X69" s="2">
        <f t="shared" si="5"/>
        <v>30562</v>
      </c>
    </row>
    <row r="70" spans="1:24" x14ac:dyDescent="0.3">
      <c r="A70" t="s">
        <v>63</v>
      </c>
      <c r="B70" t="s">
        <v>42</v>
      </c>
      <c r="C70" s="13">
        <v>7473883</v>
      </c>
      <c r="D70" s="13">
        <v>25536</v>
      </c>
      <c r="E70" s="13">
        <v>28455</v>
      </c>
      <c r="F70" s="13"/>
      <c r="G70" s="12"/>
      <c r="H70" s="12"/>
      <c r="I70" s="12"/>
      <c r="J70" s="13"/>
      <c r="K70" t="s">
        <v>195</v>
      </c>
      <c r="L70" s="13">
        <v>7600565</v>
      </c>
      <c r="N70" t="s">
        <v>196</v>
      </c>
      <c r="O70" s="13">
        <v>23035</v>
      </c>
      <c r="P70" s="13">
        <v>30030</v>
      </c>
      <c r="Q70" s="1"/>
      <c r="R70" s="1"/>
      <c r="S70" s="9"/>
      <c r="T70" s="6"/>
      <c r="U70" s="6" t="str">
        <f t="shared" si="3"/>
        <v>W26</v>
      </c>
      <c r="V70" s="6"/>
      <c r="W70" s="2">
        <f t="shared" si="4"/>
        <v>23035</v>
      </c>
      <c r="X70" s="2">
        <f t="shared" si="5"/>
        <v>23035</v>
      </c>
    </row>
    <row r="71" spans="1:24" x14ac:dyDescent="0.3">
      <c r="A71" t="s">
        <v>63</v>
      </c>
      <c r="B71" t="s">
        <v>157</v>
      </c>
      <c r="C71" s="13">
        <v>7760549</v>
      </c>
      <c r="D71" s="13">
        <v>20789</v>
      </c>
      <c r="E71" s="13">
        <v>29272</v>
      </c>
      <c r="F71" s="13"/>
      <c r="G71" s="12"/>
      <c r="H71" s="12"/>
      <c r="I71" s="12"/>
      <c r="J71" s="13"/>
      <c r="K71" t="s">
        <v>139</v>
      </c>
      <c r="L71" s="13">
        <v>7086719</v>
      </c>
      <c r="N71" t="s">
        <v>197</v>
      </c>
      <c r="O71" s="13">
        <v>31353</v>
      </c>
      <c r="P71" s="13">
        <v>20930</v>
      </c>
      <c r="Q71" s="1"/>
      <c r="R71" s="1"/>
      <c r="S71" s="9"/>
      <c r="T71" s="6"/>
      <c r="U71" s="6" t="str">
        <f t="shared" si="3"/>
        <v>W14</v>
      </c>
      <c r="V71" s="6"/>
      <c r="W71" s="2">
        <f t="shared" si="4"/>
        <v>31353</v>
      </c>
      <c r="X71" s="2">
        <f t="shared" si="5"/>
        <v>31353</v>
      </c>
    </row>
    <row r="72" spans="1:24" x14ac:dyDescent="0.3">
      <c r="A72" t="s">
        <v>78</v>
      </c>
      <c r="B72" t="s">
        <v>198</v>
      </c>
      <c r="C72" s="13">
        <v>7987172</v>
      </c>
      <c r="D72" s="13">
        <v>25200</v>
      </c>
      <c r="E72" s="13">
        <v>36569</v>
      </c>
      <c r="F72" s="13"/>
      <c r="G72" s="12"/>
      <c r="H72" s="12"/>
      <c r="I72" s="12"/>
      <c r="J72" s="13"/>
      <c r="K72" t="s">
        <v>199</v>
      </c>
      <c r="L72" s="13">
        <v>7147113</v>
      </c>
      <c r="N72" t="s">
        <v>196</v>
      </c>
      <c r="O72" s="13">
        <v>24292</v>
      </c>
      <c r="P72" s="13">
        <v>35900</v>
      </c>
      <c r="Q72" s="1"/>
      <c r="R72" s="1"/>
      <c r="S72" s="9"/>
      <c r="T72" s="6"/>
      <c r="U72" s="6" t="str">
        <f t="shared" si="3"/>
        <v>W26</v>
      </c>
      <c r="V72" s="6"/>
      <c r="W72" s="2">
        <f t="shared" si="4"/>
        <v>24292</v>
      </c>
      <c r="X72" s="2">
        <f t="shared" si="5"/>
        <v>24292</v>
      </c>
    </row>
    <row r="73" spans="1:24" x14ac:dyDescent="0.3">
      <c r="A73" t="s">
        <v>200</v>
      </c>
      <c r="B73" t="s">
        <v>93</v>
      </c>
      <c r="C73" s="13">
        <v>7732892</v>
      </c>
      <c r="D73" s="13">
        <v>36408</v>
      </c>
      <c r="E73" s="13">
        <v>39401</v>
      </c>
      <c r="F73" s="13"/>
      <c r="G73" s="1"/>
      <c r="H73" s="1"/>
      <c r="I73" s="8">
        <f>H74/I74/2</f>
        <v>0.13948438464649907</v>
      </c>
      <c r="J73" s="13"/>
      <c r="K73" t="s">
        <v>83</v>
      </c>
      <c r="L73" s="13">
        <v>7085494</v>
      </c>
      <c r="N73" t="s">
        <v>68</v>
      </c>
      <c r="O73" s="13">
        <v>29429</v>
      </c>
      <c r="P73" s="13">
        <v>23807</v>
      </c>
      <c r="Q73" s="1"/>
      <c r="R73" s="1"/>
      <c r="S73" s="9"/>
      <c r="T73" s="6"/>
      <c r="U73" s="6" t="str">
        <f t="shared" si="3"/>
        <v>W50</v>
      </c>
      <c r="V73" s="6"/>
      <c r="W73" s="2">
        <f t="shared" si="4"/>
        <v>29429</v>
      </c>
      <c r="X73" s="2">
        <f t="shared" si="5"/>
        <v>29429</v>
      </c>
    </row>
    <row r="74" spans="1:24" x14ac:dyDescent="0.3">
      <c r="A74" t="s">
        <v>99</v>
      </c>
      <c r="B74" t="s">
        <v>118</v>
      </c>
      <c r="C74" s="13">
        <v>7545307</v>
      </c>
      <c r="D74" s="13">
        <v>34175</v>
      </c>
      <c r="E74" s="13">
        <v>38743</v>
      </c>
      <c r="F74" s="13"/>
      <c r="G74" s="1"/>
      <c r="H74" s="12">
        <f>SUM(H76:H98)</f>
        <v>104832</v>
      </c>
      <c r="I74" s="12">
        <f>SUM(I76:I98)</f>
        <v>375784</v>
      </c>
      <c r="J74" s="13"/>
      <c r="K74" t="s">
        <v>136</v>
      </c>
      <c r="L74" s="13">
        <v>7096583</v>
      </c>
      <c r="N74" t="s">
        <v>121</v>
      </c>
      <c r="O74" s="13">
        <v>31306</v>
      </c>
      <c r="P74" s="13">
        <v>22781</v>
      </c>
      <c r="Q74" s="1"/>
      <c r="R74" s="1"/>
      <c r="S74" s="9"/>
      <c r="T74" s="6"/>
      <c r="U74" s="6" t="str">
        <f t="shared" si="3"/>
        <v>W50</v>
      </c>
      <c r="V74" s="6"/>
      <c r="W74" s="2">
        <f t="shared" si="4"/>
        <v>31306</v>
      </c>
      <c r="X74" s="2">
        <f t="shared" si="5"/>
        <v>31306</v>
      </c>
    </row>
    <row r="75" spans="1:24" x14ac:dyDescent="0.3">
      <c r="A75" t="s">
        <v>49</v>
      </c>
      <c r="B75" t="s">
        <v>201</v>
      </c>
      <c r="C75" s="13">
        <v>7206193</v>
      </c>
      <c r="D75" s="13">
        <v>40121</v>
      </c>
      <c r="E75" s="13">
        <v>37681</v>
      </c>
      <c r="F75" s="13"/>
      <c r="G75" s="1" t="s">
        <v>31</v>
      </c>
      <c r="H75" s="1" t="s">
        <v>32</v>
      </c>
      <c r="I75" s="1" t="s">
        <v>33</v>
      </c>
      <c r="J75" s="13"/>
      <c r="K75" t="s">
        <v>88</v>
      </c>
      <c r="L75" s="13">
        <v>8020028</v>
      </c>
      <c r="N75" t="s">
        <v>202</v>
      </c>
      <c r="O75" s="13">
        <v>32683</v>
      </c>
      <c r="P75" s="13">
        <v>22913</v>
      </c>
      <c r="Q75" s="1"/>
      <c r="R75" s="1"/>
      <c r="S75" s="9"/>
      <c r="T75" s="6"/>
      <c r="U75" s="6" t="str">
        <f t="shared" ref="U75:U106" si="6">RIGHT(N75,3)</f>
        <v>W31</v>
      </c>
      <c r="V75" s="6"/>
      <c r="W75" s="2">
        <f t="shared" ref="W75:W96" si="7">O75</f>
        <v>32683</v>
      </c>
      <c r="X75" s="2">
        <f t="shared" ref="X75:X98" si="8">W75</f>
        <v>32683</v>
      </c>
    </row>
    <row r="76" spans="1:24" x14ac:dyDescent="0.3">
      <c r="A76" t="s">
        <v>63</v>
      </c>
      <c r="B76" t="s">
        <v>203</v>
      </c>
      <c r="C76" s="13">
        <v>7928913</v>
      </c>
      <c r="D76" s="13">
        <v>26315</v>
      </c>
      <c r="E76" s="13">
        <v>32975</v>
      </c>
      <c r="F76" s="13"/>
      <c r="G76" s="12">
        <f t="shared" ref="G76:G98" si="9">C76-D76+E76</f>
        <v>7935573</v>
      </c>
      <c r="H76" s="12">
        <f t="shared" ref="H76:H98" si="10">IF(C76-G76&lt;0,0,C76-G76)</f>
        <v>0</v>
      </c>
      <c r="I76" s="12">
        <f t="shared" ref="I76:I98" si="11">IF(H76=0,0,D76)</f>
        <v>0</v>
      </c>
      <c r="J76" s="13"/>
      <c r="K76" t="s">
        <v>204</v>
      </c>
      <c r="L76" s="13">
        <v>7665381</v>
      </c>
      <c r="N76" t="s">
        <v>103</v>
      </c>
      <c r="O76" s="13">
        <v>37116</v>
      </c>
      <c r="P76" s="13">
        <v>20768</v>
      </c>
      <c r="Q76" s="1"/>
      <c r="R76" s="1"/>
      <c r="S76" s="9"/>
      <c r="T76" s="6" t="str">
        <f>A76</f>
        <v>2026-Q2</v>
      </c>
      <c r="U76" s="6" t="str">
        <f t="shared" si="6"/>
        <v>W07</v>
      </c>
      <c r="V76" s="6"/>
      <c r="W76" s="2">
        <f t="shared" si="7"/>
        <v>37116</v>
      </c>
      <c r="X76" s="2">
        <f t="shared" si="8"/>
        <v>37116</v>
      </c>
    </row>
    <row r="77" spans="1:24" x14ac:dyDescent="0.3">
      <c r="A77" t="s">
        <v>105</v>
      </c>
      <c r="B77" t="s">
        <v>205</v>
      </c>
      <c r="C77" s="13">
        <v>7394041</v>
      </c>
      <c r="D77" s="13">
        <v>34274</v>
      </c>
      <c r="E77" s="13">
        <v>19347</v>
      </c>
      <c r="F77" s="13"/>
      <c r="G77" s="12">
        <f t="shared" si="9"/>
        <v>7379114</v>
      </c>
      <c r="H77" s="12">
        <f t="shared" si="10"/>
        <v>14927</v>
      </c>
      <c r="I77" s="12">
        <f t="shared" si="11"/>
        <v>34274</v>
      </c>
      <c r="J77" s="13"/>
      <c r="K77" t="s">
        <v>206</v>
      </c>
      <c r="L77" s="13">
        <v>7207875</v>
      </c>
      <c r="N77" t="s">
        <v>76</v>
      </c>
      <c r="O77" s="13">
        <v>36234</v>
      </c>
      <c r="P77" s="13">
        <v>23825</v>
      </c>
      <c r="Q77" s="1"/>
      <c r="R77" s="1"/>
      <c r="S77" s="9"/>
      <c r="T77" s="6"/>
      <c r="U77" s="6" t="str">
        <f t="shared" si="6"/>
        <v>W14</v>
      </c>
      <c r="W77" s="2">
        <f t="shared" si="7"/>
        <v>36234</v>
      </c>
      <c r="X77" s="2">
        <f t="shared" si="8"/>
        <v>36234</v>
      </c>
    </row>
    <row r="78" spans="1:24" x14ac:dyDescent="0.3">
      <c r="A78" t="s">
        <v>41</v>
      </c>
      <c r="B78" t="s">
        <v>203</v>
      </c>
      <c r="C78" s="13">
        <v>7879059</v>
      </c>
      <c r="D78" s="13">
        <v>36245</v>
      </c>
      <c r="E78" s="13">
        <v>21378</v>
      </c>
      <c r="F78" s="13"/>
      <c r="G78" s="12">
        <f t="shared" si="9"/>
        <v>7864192</v>
      </c>
      <c r="H78" s="12">
        <f t="shared" si="10"/>
        <v>14867</v>
      </c>
      <c r="I78" s="12">
        <f t="shared" si="11"/>
        <v>36245</v>
      </c>
      <c r="J78" s="13"/>
      <c r="K78" t="s">
        <v>103</v>
      </c>
      <c r="L78" s="13">
        <v>7067395</v>
      </c>
      <c r="N78" t="s">
        <v>162</v>
      </c>
      <c r="O78" s="13">
        <v>38773</v>
      </c>
      <c r="P78" s="13">
        <v>27593</v>
      </c>
      <c r="Q78" s="1"/>
      <c r="R78" s="1"/>
      <c r="S78" s="9"/>
      <c r="T78" s="6"/>
      <c r="U78" s="6" t="str">
        <f t="shared" si="6"/>
        <v>W23</v>
      </c>
      <c r="W78" s="2">
        <f t="shared" si="7"/>
        <v>38773</v>
      </c>
      <c r="X78" s="2">
        <f t="shared" si="8"/>
        <v>38773</v>
      </c>
    </row>
    <row r="79" spans="1:24" x14ac:dyDescent="0.3">
      <c r="A79" t="s">
        <v>59</v>
      </c>
      <c r="B79" t="s">
        <v>82</v>
      </c>
      <c r="C79" s="13">
        <v>7207331</v>
      </c>
      <c r="D79" s="13">
        <v>35381</v>
      </c>
      <c r="E79" s="13">
        <v>30285</v>
      </c>
      <c r="F79" s="13"/>
      <c r="G79" s="12">
        <f t="shared" si="9"/>
        <v>7202235</v>
      </c>
      <c r="H79" s="12">
        <f t="shared" si="10"/>
        <v>5096</v>
      </c>
      <c r="I79" s="12">
        <f t="shared" si="11"/>
        <v>35381</v>
      </c>
      <c r="J79" s="13"/>
      <c r="K79" t="s">
        <v>156</v>
      </c>
      <c r="L79" s="13">
        <v>7056801</v>
      </c>
      <c r="N79" t="s">
        <v>207</v>
      </c>
      <c r="O79" s="13">
        <v>20938</v>
      </c>
      <c r="P79" s="13">
        <v>31706</v>
      </c>
      <c r="Q79" s="1"/>
      <c r="R79" s="1"/>
      <c r="S79" s="9"/>
      <c r="T79" s="6"/>
      <c r="U79" s="6" t="str">
        <f t="shared" si="6"/>
        <v>W06</v>
      </c>
      <c r="W79" s="2">
        <f t="shared" si="7"/>
        <v>20938</v>
      </c>
      <c r="X79" s="2">
        <f t="shared" si="8"/>
        <v>20938</v>
      </c>
    </row>
    <row r="80" spans="1:24" x14ac:dyDescent="0.3">
      <c r="A80" t="s">
        <v>63</v>
      </c>
      <c r="B80" t="s">
        <v>208</v>
      </c>
      <c r="C80" s="13">
        <v>7653491</v>
      </c>
      <c r="D80" s="13">
        <v>30771</v>
      </c>
      <c r="E80" s="13">
        <v>20999</v>
      </c>
      <c r="F80" s="13"/>
      <c r="G80" s="12">
        <f t="shared" si="9"/>
        <v>7643719</v>
      </c>
      <c r="H80" s="12">
        <f t="shared" si="10"/>
        <v>9772</v>
      </c>
      <c r="I80" s="12">
        <f t="shared" si="11"/>
        <v>30771</v>
      </c>
      <c r="J80" s="13"/>
      <c r="K80" t="s">
        <v>44</v>
      </c>
      <c r="L80" s="13">
        <v>7778498</v>
      </c>
      <c r="N80" t="s">
        <v>167</v>
      </c>
      <c r="O80" s="13">
        <v>25239</v>
      </c>
      <c r="P80" s="13">
        <v>34381</v>
      </c>
      <c r="Q80" s="1"/>
      <c r="R80" s="1"/>
      <c r="S80" s="9"/>
      <c r="T80" s="6"/>
      <c r="U80" s="6" t="str">
        <f t="shared" si="6"/>
        <v>W35</v>
      </c>
      <c r="W80" s="2">
        <f t="shared" si="7"/>
        <v>25239</v>
      </c>
      <c r="X80" s="2">
        <f t="shared" si="8"/>
        <v>25239</v>
      </c>
    </row>
    <row r="81" spans="1:24" x14ac:dyDescent="0.3">
      <c r="A81" t="s">
        <v>109</v>
      </c>
      <c r="B81" t="s">
        <v>90</v>
      </c>
      <c r="C81" s="13">
        <v>7469416</v>
      </c>
      <c r="D81" s="13">
        <v>23753</v>
      </c>
      <c r="E81" s="13">
        <v>36585</v>
      </c>
      <c r="F81" s="13"/>
      <c r="G81" s="12">
        <f t="shared" si="9"/>
        <v>7482248</v>
      </c>
      <c r="H81" s="12">
        <f t="shared" si="10"/>
        <v>0</v>
      </c>
      <c r="I81" s="12">
        <f t="shared" si="11"/>
        <v>0</v>
      </c>
      <c r="J81" s="13"/>
      <c r="K81" t="s">
        <v>209</v>
      </c>
      <c r="L81" s="13">
        <v>7251490</v>
      </c>
      <c r="N81" t="s">
        <v>130</v>
      </c>
      <c r="O81" s="13">
        <v>24621</v>
      </c>
      <c r="P81" s="13">
        <v>29600</v>
      </c>
      <c r="Q81" s="1"/>
      <c r="R81" s="1"/>
      <c r="S81" s="9"/>
      <c r="T81" s="6"/>
      <c r="U81" s="6" t="str">
        <f t="shared" si="6"/>
        <v>W12</v>
      </c>
      <c r="W81" s="2">
        <f t="shared" si="7"/>
        <v>24621</v>
      </c>
      <c r="X81" s="2">
        <f t="shared" si="8"/>
        <v>24621</v>
      </c>
    </row>
    <row r="82" spans="1:24" x14ac:dyDescent="0.3">
      <c r="A82" t="s">
        <v>105</v>
      </c>
      <c r="B82" t="s">
        <v>210</v>
      </c>
      <c r="C82" s="13">
        <v>7456941</v>
      </c>
      <c r="D82" s="13">
        <v>23458</v>
      </c>
      <c r="E82" s="13">
        <v>35632</v>
      </c>
      <c r="F82" s="13"/>
      <c r="G82" s="12">
        <f t="shared" si="9"/>
        <v>7469115</v>
      </c>
      <c r="H82" s="12">
        <f t="shared" si="10"/>
        <v>0</v>
      </c>
      <c r="I82" s="12">
        <f t="shared" si="11"/>
        <v>0</v>
      </c>
      <c r="J82" s="13"/>
      <c r="K82" t="s">
        <v>98</v>
      </c>
      <c r="L82" s="13">
        <v>7011255</v>
      </c>
      <c r="N82" t="s">
        <v>211</v>
      </c>
      <c r="O82" s="13">
        <v>29888</v>
      </c>
      <c r="P82" s="13">
        <v>28918</v>
      </c>
      <c r="Q82" s="1"/>
      <c r="R82" s="1"/>
      <c r="S82" s="9"/>
      <c r="T82" s="6"/>
      <c r="U82" s="6" t="str">
        <f t="shared" si="6"/>
        <v>W37</v>
      </c>
      <c r="W82" s="2">
        <f t="shared" si="7"/>
        <v>29888</v>
      </c>
      <c r="X82" s="2">
        <f t="shared" si="8"/>
        <v>29888</v>
      </c>
    </row>
    <row r="83" spans="1:24" x14ac:dyDescent="0.3">
      <c r="A83" t="s">
        <v>59</v>
      </c>
      <c r="B83" t="s">
        <v>110</v>
      </c>
      <c r="C83" s="13">
        <v>7105376</v>
      </c>
      <c r="D83" s="13">
        <v>34105</v>
      </c>
      <c r="E83" s="13">
        <v>36368</v>
      </c>
      <c r="F83" s="13"/>
      <c r="G83" s="12">
        <f t="shared" si="9"/>
        <v>7107639</v>
      </c>
      <c r="H83" s="12">
        <f t="shared" si="10"/>
        <v>0</v>
      </c>
      <c r="I83" s="12">
        <f t="shared" si="11"/>
        <v>0</v>
      </c>
      <c r="J83" s="13"/>
      <c r="K83" t="s">
        <v>212</v>
      </c>
      <c r="L83" s="13">
        <v>7122980</v>
      </c>
      <c r="N83" t="s">
        <v>196</v>
      </c>
      <c r="O83" s="13">
        <v>21682</v>
      </c>
      <c r="P83" s="13">
        <v>38716</v>
      </c>
      <c r="Q83" s="1"/>
      <c r="R83" s="1"/>
      <c r="S83" s="9"/>
      <c r="T83" s="6"/>
      <c r="U83" s="6" t="str">
        <f t="shared" si="6"/>
        <v>W26</v>
      </c>
      <c r="V83" s="7"/>
      <c r="W83" s="2">
        <f t="shared" si="7"/>
        <v>21682</v>
      </c>
      <c r="X83" s="2">
        <f t="shared" si="8"/>
        <v>21682</v>
      </c>
    </row>
    <row r="84" spans="1:24" x14ac:dyDescent="0.3">
      <c r="A84" t="s">
        <v>109</v>
      </c>
      <c r="B84" t="s">
        <v>213</v>
      </c>
      <c r="C84" s="13">
        <v>7435220</v>
      </c>
      <c r="D84" s="13">
        <v>36299</v>
      </c>
      <c r="E84" s="13">
        <v>37851</v>
      </c>
      <c r="F84" s="13"/>
      <c r="G84" s="12">
        <f t="shared" si="9"/>
        <v>7436772</v>
      </c>
      <c r="H84" s="12">
        <f t="shared" si="10"/>
        <v>0</v>
      </c>
      <c r="I84" s="12">
        <f t="shared" si="11"/>
        <v>0</v>
      </c>
      <c r="J84" s="13"/>
      <c r="K84" t="s">
        <v>214</v>
      </c>
      <c r="L84" s="13">
        <v>7383881</v>
      </c>
      <c r="N84" t="s">
        <v>215</v>
      </c>
      <c r="O84" s="13">
        <v>20511</v>
      </c>
      <c r="P84" s="13">
        <v>37462</v>
      </c>
      <c r="Q84" s="1"/>
      <c r="R84" s="1"/>
      <c r="S84" s="9"/>
      <c r="T84" s="6"/>
      <c r="U84" s="6" t="str">
        <f t="shared" si="6"/>
        <v>W06</v>
      </c>
      <c r="V84" s="7"/>
      <c r="W84" s="2">
        <f t="shared" si="7"/>
        <v>20511</v>
      </c>
      <c r="X84" s="2">
        <f t="shared" si="8"/>
        <v>20511</v>
      </c>
    </row>
    <row r="85" spans="1:24" x14ac:dyDescent="0.3">
      <c r="A85" t="s">
        <v>53</v>
      </c>
      <c r="B85" t="s">
        <v>216</v>
      </c>
      <c r="C85" s="13">
        <v>7255231</v>
      </c>
      <c r="D85" s="13">
        <v>31241</v>
      </c>
      <c r="E85" s="13">
        <v>23331</v>
      </c>
      <c r="F85" s="13"/>
      <c r="G85" s="12">
        <f t="shared" si="9"/>
        <v>7247321</v>
      </c>
      <c r="H85" s="12">
        <f t="shared" si="10"/>
        <v>7910</v>
      </c>
      <c r="I85" s="12">
        <f t="shared" si="11"/>
        <v>31241</v>
      </c>
      <c r="J85" s="13"/>
      <c r="K85" t="s">
        <v>81</v>
      </c>
      <c r="L85" s="13">
        <v>7806278</v>
      </c>
      <c r="N85" t="s">
        <v>217</v>
      </c>
      <c r="O85" s="13">
        <v>23307</v>
      </c>
      <c r="P85" s="13">
        <v>37595</v>
      </c>
      <c r="Q85" s="1"/>
      <c r="R85" s="1"/>
      <c r="S85" s="9"/>
      <c r="T85" s="6"/>
      <c r="U85" s="6" t="str">
        <f t="shared" si="6"/>
        <v>W44</v>
      </c>
      <c r="V85" s="7"/>
      <c r="W85" s="2">
        <f t="shared" si="7"/>
        <v>23307</v>
      </c>
      <c r="X85" s="2">
        <f t="shared" si="8"/>
        <v>23307</v>
      </c>
    </row>
    <row r="86" spans="1:24" x14ac:dyDescent="0.3">
      <c r="A86" t="s">
        <v>49</v>
      </c>
      <c r="B86" t="s">
        <v>218</v>
      </c>
      <c r="C86" s="13">
        <v>7308772</v>
      </c>
      <c r="D86" s="13">
        <v>35036</v>
      </c>
      <c r="E86" s="13">
        <v>25333</v>
      </c>
      <c r="F86" s="13"/>
      <c r="G86" s="12">
        <f t="shared" si="9"/>
        <v>7299069</v>
      </c>
      <c r="H86" s="12">
        <f t="shared" si="10"/>
        <v>9703</v>
      </c>
      <c r="I86" s="12">
        <f t="shared" si="11"/>
        <v>35036</v>
      </c>
      <c r="J86" s="13"/>
      <c r="K86" t="s">
        <v>62</v>
      </c>
      <c r="L86" s="13">
        <v>7716438</v>
      </c>
      <c r="N86" t="s">
        <v>98</v>
      </c>
      <c r="O86" s="13">
        <v>24196</v>
      </c>
      <c r="P86" s="13">
        <v>19825</v>
      </c>
      <c r="Q86" s="1"/>
      <c r="R86" s="1"/>
      <c r="S86" s="9"/>
      <c r="T86" s="6"/>
      <c r="U86" s="6" t="str">
        <f t="shared" si="6"/>
        <v>W23</v>
      </c>
      <c r="V86" s="7"/>
      <c r="W86" s="2">
        <f t="shared" si="7"/>
        <v>24196</v>
      </c>
      <c r="X86" s="2">
        <f t="shared" si="8"/>
        <v>24196</v>
      </c>
    </row>
    <row r="87" spans="1:24" x14ac:dyDescent="0.3">
      <c r="A87" t="s">
        <v>78</v>
      </c>
      <c r="B87" t="s">
        <v>143</v>
      </c>
      <c r="C87" s="13">
        <v>7557789</v>
      </c>
      <c r="D87" s="13">
        <v>24565</v>
      </c>
      <c r="E87" s="13">
        <v>22641</v>
      </c>
      <c r="F87" s="13"/>
      <c r="G87" s="12">
        <f t="shared" si="9"/>
        <v>7555865</v>
      </c>
      <c r="H87" s="12">
        <f t="shared" si="10"/>
        <v>1924</v>
      </c>
      <c r="I87" s="12">
        <f t="shared" si="11"/>
        <v>24565</v>
      </c>
      <c r="J87" s="13"/>
      <c r="K87" t="s">
        <v>219</v>
      </c>
      <c r="L87" s="13">
        <v>7895768</v>
      </c>
      <c r="N87" t="s">
        <v>192</v>
      </c>
      <c r="O87" s="13">
        <v>25802</v>
      </c>
      <c r="P87" s="13">
        <v>34727</v>
      </c>
      <c r="Q87" s="1"/>
      <c r="R87" s="1"/>
      <c r="S87" s="9"/>
      <c r="T87" s="6"/>
      <c r="U87" s="6" t="str">
        <f t="shared" si="6"/>
        <v>W24</v>
      </c>
      <c r="V87" s="7"/>
      <c r="W87" s="2">
        <f t="shared" si="7"/>
        <v>25802</v>
      </c>
      <c r="X87" s="2">
        <f t="shared" si="8"/>
        <v>25802</v>
      </c>
    </row>
    <row r="88" spans="1:24" x14ac:dyDescent="0.3">
      <c r="A88" t="s">
        <v>99</v>
      </c>
      <c r="B88" t="s">
        <v>150</v>
      </c>
      <c r="C88" s="13">
        <v>7543593</v>
      </c>
      <c r="D88" s="13">
        <v>28094</v>
      </c>
      <c r="E88" s="13">
        <v>38928</v>
      </c>
      <c r="F88" s="13"/>
      <c r="G88" s="12">
        <f t="shared" si="9"/>
        <v>7554427</v>
      </c>
      <c r="H88" s="12">
        <f t="shared" si="10"/>
        <v>0</v>
      </c>
      <c r="I88" s="12">
        <f t="shared" si="11"/>
        <v>0</v>
      </c>
      <c r="J88" s="13"/>
      <c r="K88" t="s">
        <v>220</v>
      </c>
      <c r="L88" s="13">
        <v>7144685</v>
      </c>
      <c r="N88" t="s">
        <v>199</v>
      </c>
      <c r="O88" s="13">
        <v>39529</v>
      </c>
      <c r="P88" s="13">
        <v>34904</v>
      </c>
      <c r="Q88" s="1"/>
      <c r="R88" s="1"/>
      <c r="S88" s="9"/>
      <c r="T88" s="6"/>
      <c r="U88" s="6" t="str">
        <f t="shared" si="6"/>
        <v>W33</v>
      </c>
      <c r="V88" s="7"/>
      <c r="W88" s="2">
        <f t="shared" si="7"/>
        <v>39529</v>
      </c>
      <c r="X88" s="2">
        <f t="shared" si="8"/>
        <v>39529</v>
      </c>
    </row>
    <row r="89" spans="1:24" x14ac:dyDescent="0.3">
      <c r="A89" t="s">
        <v>63</v>
      </c>
      <c r="B89" t="s">
        <v>221</v>
      </c>
      <c r="C89" s="13">
        <v>7938561</v>
      </c>
      <c r="D89" s="13">
        <v>20423</v>
      </c>
      <c r="E89" s="13">
        <v>33478</v>
      </c>
      <c r="F89" s="13"/>
      <c r="G89" s="12">
        <f t="shared" si="9"/>
        <v>7951616</v>
      </c>
      <c r="H89" s="12">
        <f t="shared" si="10"/>
        <v>0</v>
      </c>
      <c r="I89" s="12">
        <f t="shared" si="11"/>
        <v>0</v>
      </c>
      <c r="J89" s="13"/>
      <c r="K89" t="s">
        <v>222</v>
      </c>
      <c r="L89" s="13">
        <v>7529368</v>
      </c>
      <c r="N89" t="s">
        <v>98</v>
      </c>
      <c r="O89" s="13">
        <v>32082</v>
      </c>
      <c r="P89" s="13">
        <v>27994</v>
      </c>
      <c r="Q89" s="1"/>
      <c r="R89" s="1"/>
      <c r="S89" s="9"/>
      <c r="T89" s="6" t="str">
        <f>A89</f>
        <v>2026-Q2</v>
      </c>
      <c r="U89" s="6" t="str">
        <f t="shared" si="6"/>
        <v>W23</v>
      </c>
      <c r="V89" s="7"/>
      <c r="W89" s="2">
        <f t="shared" si="7"/>
        <v>32082</v>
      </c>
      <c r="X89" s="2">
        <f t="shared" si="8"/>
        <v>32082</v>
      </c>
    </row>
    <row r="90" spans="1:24" x14ac:dyDescent="0.3">
      <c r="A90" t="s">
        <v>125</v>
      </c>
      <c r="B90" t="s">
        <v>100</v>
      </c>
      <c r="C90" s="13">
        <v>7210007</v>
      </c>
      <c r="D90" s="13">
        <v>38115</v>
      </c>
      <c r="E90" s="13">
        <v>34894</v>
      </c>
      <c r="F90" s="13"/>
      <c r="G90" s="12">
        <f t="shared" si="9"/>
        <v>7206786</v>
      </c>
      <c r="H90" s="12">
        <f t="shared" si="10"/>
        <v>3221</v>
      </c>
      <c r="I90" s="12">
        <f t="shared" si="11"/>
        <v>38115</v>
      </c>
      <c r="J90" s="13"/>
      <c r="K90" t="s">
        <v>167</v>
      </c>
      <c r="L90" s="13">
        <v>7803832</v>
      </c>
      <c r="N90" t="s">
        <v>139</v>
      </c>
      <c r="O90" s="13">
        <v>24696</v>
      </c>
      <c r="P90" s="13">
        <v>21666</v>
      </c>
      <c r="Q90" s="1"/>
      <c r="R90" s="1"/>
      <c r="S90" s="9"/>
      <c r="T90" s="6"/>
      <c r="U90" s="6" t="str">
        <f t="shared" si="6"/>
        <v>W15</v>
      </c>
      <c r="V90" s="7"/>
      <c r="W90" s="2">
        <f t="shared" si="7"/>
        <v>24696</v>
      </c>
      <c r="X90" s="2">
        <f t="shared" si="8"/>
        <v>24696</v>
      </c>
    </row>
    <row r="91" spans="1:24" x14ac:dyDescent="0.3">
      <c r="A91" t="s">
        <v>59</v>
      </c>
      <c r="B91" t="s">
        <v>223</v>
      </c>
      <c r="C91" s="13">
        <v>7867782</v>
      </c>
      <c r="D91" s="13">
        <v>32376</v>
      </c>
      <c r="E91" s="13">
        <v>25867</v>
      </c>
      <c r="F91" s="13"/>
      <c r="G91" s="12">
        <f t="shared" si="9"/>
        <v>7861273</v>
      </c>
      <c r="H91" s="12">
        <f t="shared" si="10"/>
        <v>6509</v>
      </c>
      <c r="I91" s="12">
        <f t="shared" si="11"/>
        <v>32376</v>
      </c>
      <c r="J91" s="13"/>
      <c r="K91" t="s">
        <v>222</v>
      </c>
      <c r="L91" s="13">
        <v>7589234</v>
      </c>
      <c r="N91" t="s">
        <v>124</v>
      </c>
      <c r="O91" s="13">
        <v>30914</v>
      </c>
      <c r="P91" s="13">
        <v>36893</v>
      </c>
      <c r="Q91" s="1"/>
      <c r="R91" s="1"/>
      <c r="S91" s="9"/>
      <c r="T91" s="6"/>
      <c r="U91" s="6" t="str">
        <f t="shared" si="6"/>
        <v>W27</v>
      </c>
      <c r="V91" s="7"/>
      <c r="W91" s="2">
        <f t="shared" si="7"/>
        <v>30914</v>
      </c>
      <c r="X91" s="2">
        <f t="shared" si="8"/>
        <v>30914</v>
      </c>
    </row>
    <row r="92" spans="1:24" x14ac:dyDescent="0.3">
      <c r="A92" t="s">
        <v>59</v>
      </c>
      <c r="B92" t="s">
        <v>100</v>
      </c>
      <c r="C92" s="13">
        <v>7269088</v>
      </c>
      <c r="D92" s="13">
        <v>26294</v>
      </c>
      <c r="E92" s="13">
        <v>36419</v>
      </c>
      <c r="F92" s="13"/>
      <c r="G92" s="12">
        <f t="shared" si="9"/>
        <v>7279213</v>
      </c>
      <c r="H92" s="12">
        <f t="shared" si="10"/>
        <v>0</v>
      </c>
      <c r="I92" s="12">
        <f t="shared" si="11"/>
        <v>0</v>
      </c>
      <c r="J92" s="13"/>
      <c r="K92" t="s">
        <v>224</v>
      </c>
      <c r="L92" s="13">
        <v>7740393</v>
      </c>
      <c r="N92" t="s">
        <v>165</v>
      </c>
      <c r="O92" s="13">
        <v>22189</v>
      </c>
      <c r="P92" s="13">
        <v>38510</v>
      </c>
      <c r="Q92" s="1"/>
      <c r="R92" s="1"/>
      <c r="S92" s="9"/>
      <c r="T92" s="6"/>
      <c r="U92" s="6" t="str">
        <f t="shared" si="6"/>
        <v>W18</v>
      </c>
      <c r="V92" s="2" t="s">
        <v>225</v>
      </c>
      <c r="W92" s="2">
        <f t="shared" si="7"/>
        <v>22189</v>
      </c>
      <c r="X92" s="2">
        <f t="shared" si="8"/>
        <v>22189</v>
      </c>
    </row>
    <row r="93" spans="1:24" x14ac:dyDescent="0.3">
      <c r="A93" t="s">
        <v>105</v>
      </c>
      <c r="B93" t="s">
        <v>226</v>
      </c>
      <c r="C93" s="13">
        <v>7950532</v>
      </c>
      <c r="D93" s="13">
        <v>27049</v>
      </c>
      <c r="E93" s="13">
        <v>37230</v>
      </c>
      <c r="F93" s="13"/>
      <c r="G93" s="12">
        <f t="shared" si="9"/>
        <v>7960713</v>
      </c>
      <c r="H93" s="12">
        <f t="shared" si="10"/>
        <v>0</v>
      </c>
      <c r="I93" s="12">
        <f t="shared" si="11"/>
        <v>0</v>
      </c>
      <c r="J93" s="13"/>
      <c r="K93" t="s">
        <v>227</v>
      </c>
      <c r="L93" s="13">
        <v>7225901</v>
      </c>
      <c r="N93" t="s">
        <v>228</v>
      </c>
      <c r="O93" s="13">
        <v>26581</v>
      </c>
      <c r="P93" s="13">
        <v>30799</v>
      </c>
      <c r="Q93" s="1"/>
      <c r="R93" s="1"/>
      <c r="S93" s="9"/>
      <c r="T93" s="6"/>
      <c r="U93" s="6" t="str">
        <f t="shared" si="6"/>
        <v>W21</v>
      </c>
      <c r="V93" s="8">
        <v>1.3</v>
      </c>
      <c r="W93" s="2">
        <f t="shared" si="7"/>
        <v>26581</v>
      </c>
      <c r="X93" s="2">
        <f t="shared" si="8"/>
        <v>26581</v>
      </c>
    </row>
    <row r="94" spans="1:24" x14ac:dyDescent="0.3">
      <c r="A94" t="s">
        <v>45</v>
      </c>
      <c r="B94" t="s">
        <v>143</v>
      </c>
      <c r="C94" s="13">
        <v>7379158</v>
      </c>
      <c r="D94" s="13">
        <v>28324</v>
      </c>
      <c r="E94" s="13">
        <v>36670</v>
      </c>
      <c r="F94" s="13"/>
      <c r="G94" s="12">
        <f t="shared" si="9"/>
        <v>7387504</v>
      </c>
      <c r="H94" s="12">
        <f t="shared" si="10"/>
        <v>0</v>
      </c>
      <c r="I94" s="12">
        <f t="shared" si="11"/>
        <v>0</v>
      </c>
      <c r="J94" s="13"/>
      <c r="K94" t="s">
        <v>127</v>
      </c>
      <c r="L94" s="13">
        <v>7581598</v>
      </c>
      <c r="N94" t="s">
        <v>229</v>
      </c>
      <c r="O94" s="13">
        <v>38549</v>
      </c>
      <c r="P94" s="13">
        <v>33262</v>
      </c>
      <c r="Q94" s="1"/>
      <c r="R94" s="1"/>
      <c r="S94" s="9"/>
      <c r="T94" s="6"/>
      <c r="U94" s="6" t="str">
        <f t="shared" si="6"/>
        <v>W30</v>
      </c>
      <c r="V94" s="3">
        <v>1</v>
      </c>
      <c r="W94" s="2">
        <f t="shared" si="7"/>
        <v>38549</v>
      </c>
      <c r="X94" s="2">
        <f t="shared" si="8"/>
        <v>38549</v>
      </c>
    </row>
    <row r="95" spans="1:24" x14ac:dyDescent="0.3">
      <c r="A95" t="s">
        <v>53</v>
      </c>
      <c r="B95" t="s">
        <v>230</v>
      </c>
      <c r="C95" s="13">
        <v>7057057</v>
      </c>
      <c r="D95" s="13">
        <v>39016</v>
      </c>
      <c r="E95" s="13">
        <v>25020</v>
      </c>
      <c r="F95" s="13"/>
      <c r="G95" s="12">
        <f t="shared" si="9"/>
        <v>7043061</v>
      </c>
      <c r="H95" s="12">
        <f t="shared" si="10"/>
        <v>13996</v>
      </c>
      <c r="I95" s="12">
        <f t="shared" si="11"/>
        <v>39016</v>
      </c>
      <c r="J95" s="13"/>
      <c r="K95" t="s">
        <v>101</v>
      </c>
      <c r="L95" s="13">
        <v>7099007</v>
      </c>
      <c r="N95" t="s">
        <v>194</v>
      </c>
      <c r="O95" s="13">
        <v>24423</v>
      </c>
      <c r="P95" s="13">
        <v>36428</v>
      </c>
      <c r="Q95" s="1"/>
      <c r="R95" s="1"/>
      <c r="S95" s="9"/>
      <c r="T95" s="6"/>
      <c r="U95" s="6" t="str">
        <f t="shared" si="6"/>
        <v>W13</v>
      </c>
      <c r="V95" s="2">
        <f>COUNT(V97:V166)</f>
        <v>68</v>
      </c>
      <c r="W95" s="2">
        <f t="shared" si="7"/>
        <v>24423</v>
      </c>
      <c r="X95" s="2">
        <f t="shared" si="8"/>
        <v>24423</v>
      </c>
    </row>
    <row r="96" spans="1:24" x14ac:dyDescent="0.3">
      <c r="A96" t="s">
        <v>105</v>
      </c>
      <c r="B96" t="s">
        <v>231</v>
      </c>
      <c r="C96" s="13">
        <v>7231943</v>
      </c>
      <c r="D96" s="13">
        <v>29849</v>
      </c>
      <c r="E96" s="13">
        <v>37902</v>
      </c>
      <c r="F96" s="13"/>
      <c r="G96" s="12">
        <f t="shared" si="9"/>
        <v>7239996</v>
      </c>
      <c r="H96" s="12">
        <f t="shared" si="10"/>
        <v>0</v>
      </c>
      <c r="I96" s="12">
        <f t="shared" si="11"/>
        <v>0</v>
      </c>
      <c r="J96" s="13"/>
      <c r="K96" t="s">
        <v>209</v>
      </c>
      <c r="L96" s="13">
        <v>7820474</v>
      </c>
      <c r="N96" t="s">
        <v>232</v>
      </c>
      <c r="O96" s="13">
        <v>23055</v>
      </c>
      <c r="P96" s="13">
        <v>28277</v>
      </c>
      <c r="Q96" s="1" t="s">
        <v>233</v>
      </c>
      <c r="R96" s="1" t="s">
        <v>234</v>
      </c>
      <c r="S96" s="9"/>
      <c r="T96" s="6"/>
      <c r="U96" s="6" t="str">
        <f t="shared" si="6"/>
        <v>W31</v>
      </c>
      <c r="V96" s="7"/>
      <c r="W96" s="2">
        <f t="shared" si="7"/>
        <v>23055</v>
      </c>
      <c r="X96" s="2">
        <f t="shared" si="8"/>
        <v>23055</v>
      </c>
    </row>
    <row r="97" spans="1:24" x14ac:dyDescent="0.3">
      <c r="A97" t="s">
        <v>45</v>
      </c>
      <c r="B97" t="s">
        <v>235</v>
      </c>
      <c r="C97" s="13">
        <v>7611363</v>
      </c>
      <c r="D97" s="13">
        <v>38764</v>
      </c>
      <c r="E97" s="13">
        <v>21857</v>
      </c>
      <c r="F97" s="13"/>
      <c r="G97" s="12">
        <f t="shared" si="9"/>
        <v>7594456</v>
      </c>
      <c r="H97" s="12">
        <f t="shared" si="10"/>
        <v>16907</v>
      </c>
      <c r="I97" s="12">
        <f t="shared" si="11"/>
        <v>38764</v>
      </c>
      <c r="J97" s="13"/>
      <c r="K97" t="s">
        <v>168</v>
      </c>
      <c r="L97" s="13">
        <v>7862805</v>
      </c>
      <c r="N97" t="s">
        <v>95</v>
      </c>
      <c r="O97" s="13">
        <v>24250</v>
      </c>
      <c r="P97" s="13">
        <v>26873</v>
      </c>
      <c r="Q97" s="14"/>
      <c r="R97" s="14"/>
      <c r="S97" s="9"/>
      <c r="T97" s="6"/>
      <c r="U97" s="6" t="str">
        <f t="shared" si="6"/>
        <v>W29</v>
      </c>
      <c r="V97" s="7"/>
      <c r="W97" s="7">
        <f>E97</f>
        <v>21857</v>
      </c>
      <c r="X97" s="2">
        <f t="shared" si="8"/>
        <v>21857</v>
      </c>
    </row>
    <row r="98" spans="1:24" x14ac:dyDescent="0.3">
      <c r="A98" t="s">
        <v>109</v>
      </c>
      <c r="B98" t="s">
        <v>67</v>
      </c>
      <c r="C98" s="13">
        <v>7407320</v>
      </c>
      <c r="D98" s="13">
        <v>33527</v>
      </c>
      <c r="E98" s="13">
        <v>33936</v>
      </c>
      <c r="F98" s="13"/>
      <c r="G98" s="12">
        <f t="shared" si="9"/>
        <v>7407729</v>
      </c>
      <c r="H98" s="12">
        <f t="shared" si="10"/>
        <v>0</v>
      </c>
      <c r="I98" s="12">
        <f t="shared" si="11"/>
        <v>0</v>
      </c>
      <c r="J98" s="12"/>
      <c r="K98" t="s">
        <v>128</v>
      </c>
      <c r="L98" s="13">
        <v>7822496</v>
      </c>
      <c r="N98" t="s">
        <v>236</v>
      </c>
      <c r="O98" s="13">
        <v>33791</v>
      </c>
      <c r="P98" s="13">
        <v>33308</v>
      </c>
      <c r="Q98" s="1"/>
      <c r="R98" s="1"/>
      <c r="S98" s="9"/>
      <c r="T98" s="6"/>
      <c r="U98" s="6" t="str">
        <f t="shared" si="6"/>
        <v>W37</v>
      </c>
      <c r="V98" s="7"/>
      <c r="W98" s="7">
        <f>E98</f>
        <v>33936</v>
      </c>
      <c r="X98" s="2">
        <f t="shared" si="8"/>
        <v>33936</v>
      </c>
    </row>
    <row r="99" spans="1:24" x14ac:dyDescent="0.3">
      <c r="A99" t="s">
        <v>49</v>
      </c>
      <c r="B99" t="s">
        <v>173</v>
      </c>
      <c r="C99" s="13"/>
      <c r="D99" s="13">
        <v>24971</v>
      </c>
      <c r="E99" s="13">
        <v>231</v>
      </c>
      <c r="F99" s="13">
        <v>7398605</v>
      </c>
      <c r="G99" s="12"/>
      <c r="H99" s="12"/>
      <c r="I99" s="12"/>
      <c r="J99" s="13"/>
      <c r="K99" t="s">
        <v>237</v>
      </c>
      <c r="L99" s="13">
        <v>7766260</v>
      </c>
      <c r="N99" t="s">
        <v>232</v>
      </c>
      <c r="O99" s="13">
        <v>20704</v>
      </c>
      <c r="P99" s="13">
        <v>30889</v>
      </c>
      <c r="Q99" s="1"/>
      <c r="R99" s="1"/>
      <c r="S99" s="9"/>
      <c r="T99" s="6"/>
      <c r="U99" s="6" t="str">
        <f t="shared" si="6"/>
        <v>W31</v>
      </c>
      <c r="V99" s="7">
        <f t="shared" ref="V99:V130" si="12">V98+1</f>
        <v>1</v>
      </c>
      <c r="W99" s="7">
        <f t="shared" ref="W99:W130" si="13">ROUND(O99*($V$93-((($V$93-$V$94)/$V$95)*(V99-0))),0)</f>
        <v>26824</v>
      </c>
      <c r="X99" s="2">
        <f t="shared" ref="X99:X130" si="14">O99</f>
        <v>20704</v>
      </c>
    </row>
    <row r="100" spans="1:24" x14ac:dyDescent="0.3">
      <c r="A100" t="s">
        <v>105</v>
      </c>
      <c r="B100" t="s">
        <v>238</v>
      </c>
      <c r="C100" s="13"/>
      <c r="D100" s="13">
        <v>36723</v>
      </c>
      <c r="E100" s="13">
        <v>251</v>
      </c>
      <c r="F100" s="13">
        <v>7748627</v>
      </c>
      <c r="G100" s="12"/>
      <c r="H100" s="12"/>
      <c r="I100" s="12"/>
      <c r="J100" s="13"/>
      <c r="K100" t="s">
        <v>239</v>
      </c>
      <c r="L100" s="13">
        <v>7469373</v>
      </c>
      <c r="N100" t="s">
        <v>112</v>
      </c>
      <c r="O100" s="13">
        <v>32690</v>
      </c>
      <c r="P100" s="13">
        <v>24924</v>
      </c>
      <c r="Q100" s="1"/>
      <c r="R100" s="1"/>
      <c r="S100" s="9"/>
      <c r="T100" s="6"/>
      <c r="U100" s="6" t="str">
        <f t="shared" si="6"/>
        <v>W03</v>
      </c>
      <c r="V100" s="7">
        <f t="shared" si="12"/>
        <v>2</v>
      </c>
      <c r="W100" s="7">
        <f t="shared" si="13"/>
        <v>42209</v>
      </c>
      <c r="X100" s="2">
        <f t="shared" si="14"/>
        <v>32690</v>
      </c>
    </row>
    <row r="101" spans="1:24" x14ac:dyDescent="0.3">
      <c r="A101" t="s">
        <v>109</v>
      </c>
      <c r="B101" t="s">
        <v>126</v>
      </c>
      <c r="C101" s="13"/>
      <c r="D101" s="13">
        <v>34883</v>
      </c>
      <c r="E101" s="13">
        <v>202</v>
      </c>
      <c r="F101" s="13">
        <v>7010157</v>
      </c>
      <c r="G101" s="12"/>
      <c r="H101" s="12"/>
      <c r="I101" s="12"/>
      <c r="J101" s="13"/>
      <c r="K101" t="s">
        <v>228</v>
      </c>
      <c r="L101" s="13">
        <v>7356169</v>
      </c>
      <c r="N101" t="s">
        <v>139</v>
      </c>
      <c r="O101" s="13">
        <v>39226</v>
      </c>
      <c r="P101" s="13">
        <v>31868</v>
      </c>
      <c r="Q101" s="1"/>
      <c r="R101" s="1"/>
      <c r="S101" s="9"/>
      <c r="T101" s="6"/>
      <c r="U101" s="6" t="str">
        <f t="shared" si="6"/>
        <v>W15</v>
      </c>
      <c r="V101" s="7">
        <f t="shared" si="12"/>
        <v>3</v>
      </c>
      <c r="W101" s="7">
        <f t="shared" si="13"/>
        <v>50475</v>
      </c>
      <c r="X101" s="2">
        <f t="shared" si="14"/>
        <v>39226</v>
      </c>
    </row>
    <row r="102" spans="1:24" x14ac:dyDescent="0.3">
      <c r="A102" t="s">
        <v>49</v>
      </c>
      <c r="B102" t="s">
        <v>208</v>
      </c>
      <c r="C102" s="13"/>
      <c r="D102" s="13">
        <v>38202</v>
      </c>
      <c r="E102" s="13">
        <v>182</v>
      </c>
      <c r="F102" s="13">
        <v>7065119</v>
      </c>
      <c r="G102" s="12"/>
      <c r="H102" s="12"/>
      <c r="I102" s="12"/>
      <c r="J102" s="13"/>
      <c r="K102" t="s">
        <v>128</v>
      </c>
      <c r="L102" s="13">
        <v>7615383</v>
      </c>
      <c r="N102" t="s">
        <v>149</v>
      </c>
      <c r="O102" s="13">
        <v>32460</v>
      </c>
      <c r="P102" s="13">
        <v>25202</v>
      </c>
      <c r="Q102" s="1"/>
      <c r="R102" s="1"/>
      <c r="S102" s="9"/>
      <c r="T102" s="6" t="str">
        <f>A102</f>
        <v>2026-Q1</v>
      </c>
      <c r="U102" s="6" t="str">
        <f t="shared" si="6"/>
        <v>W40</v>
      </c>
      <c r="V102" s="7">
        <f t="shared" si="12"/>
        <v>4</v>
      </c>
      <c r="W102" s="7">
        <f t="shared" si="13"/>
        <v>41625</v>
      </c>
      <c r="X102" s="2">
        <f t="shared" si="14"/>
        <v>32460</v>
      </c>
    </row>
    <row r="103" spans="1:24" x14ac:dyDescent="0.3">
      <c r="A103" t="s">
        <v>78</v>
      </c>
      <c r="B103" t="s">
        <v>169</v>
      </c>
      <c r="C103" s="13"/>
      <c r="D103" s="13">
        <v>24692</v>
      </c>
      <c r="E103" s="13">
        <v>230</v>
      </c>
      <c r="F103" s="13">
        <v>7845368</v>
      </c>
      <c r="G103" s="12"/>
      <c r="H103" s="12"/>
      <c r="I103" s="12"/>
      <c r="J103" s="13"/>
      <c r="K103" t="s">
        <v>240</v>
      </c>
      <c r="L103" s="13">
        <v>7956988</v>
      </c>
      <c r="N103" t="s">
        <v>241</v>
      </c>
      <c r="O103" s="13">
        <v>18909</v>
      </c>
      <c r="P103" s="13">
        <v>34004</v>
      </c>
      <c r="Q103" s="1"/>
      <c r="R103" s="1"/>
      <c r="S103" s="9"/>
      <c r="T103" s="6"/>
      <c r="U103" s="6" t="str">
        <f t="shared" si="6"/>
        <v>W21</v>
      </c>
      <c r="V103" s="7">
        <f t="shared" si="12"/>
        <v>5</v>
      </c>
      <c r="W103" s="7">
        <f t="shared" si="13"/>
        <v>24165</v>
      </c>
      <c r="X103" s="2">
        <f t="shared" si="14"/>
        <v>18909</v>
      </c>
    </row>
    <row r="104" spans="1:24" x14ac:dyDescent="0.3">
      <c r="A104" t="s">
        <v>125</v>
      </c>
      <c r="B104" t="s">
        <v>242</v>
      </c>
      <c r="C104" s="13"/>
      <c r="D104" s="13">
        <v>32304</v>
      </c>
      <c r="E104" s="13">
        <v>308</v>
      </c>
      <c r="F104" s="13">
        <v>7160238</v>
      </c>
      <c r="G104" s="12"/>
      <c r="H104" s="12"/>
      <c r="I104" s="12"/>
      <c r="J104" s="13"/>
      <c r="K104" t="s">
        <v>133</v>
      </c>
      <c r="L104" s="13">
        <v>7137149</v>
      </c>
      <c r="N104" t="s">
        <v>204</v>
      </c>
      <c r="O104" s="13">
        <v>28896</v>
      </c>
      <c r="P104" s="13">
        <v>32951</v>
      </c>
      <c r="Q104" s="1"/>
      <c r="R104" s="1"/>
      <c r="S104" s="9"/>
      <c r="T104" s="6"/>
      <c r="U104" s="6" t="str">
        <f t="shared" si="6"/>
        <v>W27</v>
      </c>
      <c r="V104" s="7">
        <f t="shared" si="12"/>
        <v>6</v>
      </c>
      <c r="W104" s="7">
        <f t="shared" si="13"/>
        <v>36800</v>
      </c>
      <c r="X104" s="2">
        <f t="shared" si="14"/>
        <v>28896</v>
      </c>
    </row>
    <row r="105" spans="1:24" x14ac:dyDescent="0.3">
      <c r="A105" t="s">
        <v>59</v>
      </c>
      <c r="B105" t="s">
        <v>243</v>
      </c>
      <c r="C105" s="13"/>
      <c r="D105" s="13">
        <v>28581</v>
      </c>
      <c r="E105" s="13">
        <v>322</v>
      </c>
      <c r="F105" s="13">
        <v>7951959</v>
      </c>
      <c r="G105" s="12"/>
      <c r="H105" s="12"/>
      <c r="I105" s="12"/>
      <c r="J105" s="13"/>
      <c r="K105" t="s">
        <v>244</v>
      </c>
      <c r="L105" s="13">
        <v>7951972</v>
      </c>
      <c r="N105" t="s">
        <v>236</v>
      </c>
      <c r="O105" s="13">
        <v>22524</v>
      </c>
      <c r="P105" s="13">
        <v>29601</v>
      </c>
      <c r="Q105" s="1"/>
      <c r="R105" s="1"/>
      <c r="S105" s="9"/>
      <c r="T105" s="6"/>
      <c r="U105" s="6" t="str">
        <f t="shared" si="6"/>
        <v>W37</v>
      </c>
      <c r="V105" s="7">
        <f t="shared" si="12"/>
        <v>7</v>
      </c>
      <c r="W105" s="7">
        <f t="shared" si="13"/>
        <v>28586</v>
      </c>
      <c r="X105" s="2">
        <f t="shared" si="14"/>
        <v>22524</v>
      </c>
    </row>
    <row r="106" spans="1:24" x14ac:dyDescent="0.3">
      <c r="A106" t="s">
        <v>109</v>
      </c>
      <c r="B106" t="s">
        <v>245</v>
      </c>
      <c r="C106" s="13"/>
      <c r="D106" s="13">
        <v>37135</v>
      </c>
      <c r="E106" s="13">
        <v>118</v>
      </c>
      <c r="F106" s="13">
        <v>7567186</v>
      </c>
      <c r="G106" s="12"/>
      <c r="H106" s="12"/>
      <c r="I106" s="12"/>
      <c r="J106" s="13"/>
      <c r="K106" t="s">
        <v>224</v>
      </c>
      <c r="L106" s="13">
        <v>7339937</v>
      </c>
      <c r="N106" t="s">
        <v>147</v>
      </c>
      <c r="O106" s="13">
        <v>24454</v>
      </c>
      <c r="P106" s="13">
        <v>32223</v>
      </c>
      <c r="Q106" s="1"/>
      <c r="R106" s="1"/>
      <c r="S106" s="9"/>
      <c r="T106" s="6"/>
      <c r="U106" s="6" t="str">
        <f t="shared" si="6"/>
        <v>W41</v>
      </c>
      <c r="V106" s="7">
        <f t="shared" si="12"/>
        <v>8</v>
      </c>
      <c r="W106" s="7">
        <f t="shared" si="13"/>
        <v>30927</v>
      </c>
      <c r="X106" s="2">
        <f t="shared" si="14"/>
        <v>24454</v>
      </c>
    </row>
    <row r="107" spans="1:24" x14ac:dyDescent="0.3">
      <c r="A107" t="s">
        <v>49</v>
      </c>
      <c r="B107" t="s">
        <v>231</v>
      </c>
      <c r="C107" s="13"/>
      <c r="D107" s="13">
        <v>21818</v>
      </c>
      <c r="E107" s="13">
        <v>229</v>
      </c>
      <c r="F107" s="13">
        <v>7782747</v>
      </c>
      <c r="G107" s="12"/>
      <c r="H107" s="12"/>
      <c r="I107" s="12"/>
      <c r="J107" s="13"/>
      <c r="K107" t="s">
        <v>148</v>
      </c>
      <c r="L107" s="13">
        <v>7155280</v>
      </c>
      <c r="N107" t="s">
        <v>95</v>
      </c>
      <c r="O107" s="13">
        <v>18725</v>
      </c>
      <c r="P107" s="13">
        <v>30560</v>
      </c>
      <c r="Q107" s="1"/>
      <c r="R107" s="1"/>
      <c r="S107" s="9"/>
      <c r="T107" s="6"/>
      <c r="U107" s="6" t="str">
        <f t="shared" ref="U107:U138" si="15">RIGHT(N107,3)</f>
        <v>W29</v>
      </c>
      <c r="V107" s="7">
        <f t="shared" si="12"/>
        <v>9</v>
      </c>
      <c r="W107" s="7">
        <f t="shared" si="13"/>
        <v>23599</v>
      </c>
      <c r="X107" s="2">
        <f t="shared" si="14"/>
        <v>18725</v>
      </c>
    </row>
    <row r="108" spans="1:24" x14ac:dyDescent="0.3">
      <c r="A108" t="s">
        <v>125</v>
      </c>
      <c r="B108" t="s">
        <v>246</v>
      </c>
      <c r="C108" s="13"/>
      <c r="D108" s="13">
        <v>20815</v>
      </c>
      <c r="E108" s="13">
        <v>313</v>
      </c>
      <c r="F108" s="13">
        <v>7352787</v>
      </c>
      <c r="G108" s="12"/>
      <c r="H108" s="12"/>
      <c r="I108" s="12"/>
      <c r="J108" s="13"/>
      <c r="K108" t="s">
        <v>247</v>
      </c>
      <c r="L108" s="13">
        <v>7760251</v>
      </c>
      <c r="N108" t="s">
        <v>248</v>
      </c>
      <c r="O108" s="13">
        <v>32753</v>
      </c>
      <c r="P108" s="13">
        <v>36494</v>
      </c>
      <c r="Q108" s="1"/>
      <c r="R108" s="1"/>
      <c r="S108" s="9"/>
      <c r="T108" s="6"/>
      <c r="U108" s="6" t="str">
        <f t="shared" si="15"/>
        <v>W43</v>
      </c>
      <c r="V108" s="7">
        <f t="shared" si="12"/>
        <v>10</v>
      </c>
      <c r="W108" s="7">
        <f t="shared" si="13"/>
        <v>41134</v>
      </c>
      <c r="X108" s="2">
        <f t="shared" si="14"/>
        <v>32753</v>
      </c>
    </row>
    <row r="109" spans="1:24" x14ac:dyDescent="0.3">
      <c r="A109" t="s">
        <v>49</v>
      </c>
      <c r="B109" t="s">
        <v>249</v>
      </c>
      <c r="C109" s="13"/>
      <c r="D109" s="13">
        <v>27695</v>
      </c>
      <c r="E109" s="13">
        <v>122</v>
      </c>
      <c r="F109" s="13">
        <v>8002797</v>
      </c>
      <c r="G109" s="12"/>
      <c r="H109" s="12"/>
      <c r="I109" s="12"/>
      <c r="J109" s="13"/>
      <c r="K109" t="s">
        <v>115</v>
      </c>
      <c r="L109" s="13">
        <v>7226418</v>
      </c>
      <c r="N109" t="s">
        <v>135</v>
      </c>
      <c r="O109" s="13">
        <v>36254</v>
      </c>
      <c r="P109" s="13">
        <v>26394</v>
      </c>
      <c r="Q109" s="1"/>
      <c r="R109" s="1"/>
      <c r="S109" s="9"/>
      <c r="T109" s="6"/>
      <c r="U109" s="6" t="str">
        <f t="shared" si="15"/>
        <v>W52</v>
      </c>
      <c r="V109" s="7">
        <f t="shared" si="12"/>
        <v>11</v>
      </c>
      <c r="W109" s="7">
        <f t="shared" si="13"/>
        <v>45371</v>
      </c>
      <c r="X109" s="2">
        <f t="shared" si="14"/>
        <v>36254</v>
      </c>
    </row>
    <row r="110" spans="1:24" x14ac:dyDescent="0.3">
      <c r="A110" t="s">
        <v>125</v>
      </c>
      <c r="B110" t="s">
        <v>137</v>
      </c>
      <c r="C110" s="13"/>
      <c r="D110" s="13">
        <v>29210</v>
      </c>
      <c r="E110" s="13">
        <v>331</v>
      </c>
      <c r="F110" s="13">
        <v>7908315</v>
      </c>
      <c r="G110" s="12"/>
      <c r="H110" s="12"/>
      <c r="I110" s="12"/>
      <c r="J110" s="13"/>
      <c r="K110" t="s">
        <v>250</v>
      </c>
      <c r="L110" s="13">
        <v>7040595</v>
      </c>
      <c r="N110" t="s">
        <v>192</v>
      </c>
      <c r="O110" s="13">
        <v>38075</v>
      </c>
      <c r="P110" s="13">
        <v>40050</v>
      </c>
      <c r="Q110" s="1"/>
      <c r="R110" s="1"/>
      <c r="S110" s="9"/>
      <c r="T110" s="6"/>
      <c r="U110" s="6" t="str">
        <f t="shared" si="15"/>
        <v>W24</v>
      </c>
      <c r="V110" s="7">
        <f t="shared" si="12"/>
        <v>12</v>
      </c>
      <c r="W110" s="7">
        <f t="shared" si="13"/>
        <v>47482</v>
      </c>
      <c r="X110" s="2">
        <f t="shared" si="14"/>
        <v>38075</v>
      </c>
    </row>
    <row r="111" spans="1:24" x14ac:dyDescent="0.3">
      <c r="A111" t="s">
        <v>41</v>
      </c>
      <c r="B111" t="s">
        <v>102</v>
      </c>
      <c r="C111" s="13"/>
      <c r="D111" s="13">
        <v>23881</v>
      </c>
      <c r="E111" s="13">
        <v>110</v>
      </c>
      <c r="F111" s="13">
        <v>7851046</v>
      </c>
      <c r="G111" s="12"/>
      <c r="H111" s="12"/>
      <c r="I111" s="12"/>
      <c r="J111" s="13"/>
      <c r="K111" t="s">
        <v>248</v>
      </c>
      <c r="L111" s="13">
        <v>7253657</v>
      </c>
      <c r="N111" t="s">
        <v>247</v>
      </c>
      <c r="O111" s="13">
        <v>23767</v>
      </c>
      <c r="P111" s="13">
        <v>24889</v>
      </c>
      <c r="Q111" s="1"/>
      <c r="R111" s="1"/>
      <c r="S111" s="9"/>
      <c r="T111" s="6"/>
      <c r="U111" s="6" t="str">
        <f t="shared" si="15"/>
        <v>W32</v>
      </c>
      <c r="V111" s="7">
        <f t="shared" si="12"/>
        <v>13</v>
      </c>
      <c r="W111" s="7">
        <f t="shared" si="13"/>
        <v>29534</v>
      </c>
      <c r="X111" s="2">
        <f t="shared" si="14"/>
        <v>23767</v>
      </c>
    </row>
    <row r="112" spans="1:24" x14ac:dyDescent="0.3">
      <c r="A112" t="s">
        <v>109</v>
      </c>
      <c r="B112" t="s">
        <v>120</v>
      </c>
      <c r="C112" s="13"/>
      <c r="D112" s="13">
        <v>35142</v>
      </c>
      <c r="E112" s="13">
        <v>100</v>
      </c>
      <c r="F112" s="13">
        <v>7680331</v>
      </c>
      <c r="G112" s="12"/>
      <c r="H112" s="12"/>
      <c r="I112" s="12"/>
      <c r="J112" s="13"/>
      <c r="K112" t="s">
        <v>141</v>
      </c>
      <c r="L112" s="13">
        <v>7105849</v>
      </c>
      <c r="N112" t="s">
        <v>48</v>
      </c>
      <c r="O112" s="13">
        <v>21897</v>
      </c>
      <c r="P112" s="13">
        <v>22880</v>
      </c>
      <c r="Q112" s="1"/>
      <c r="R112" s="1"/>
      <c r="S112" s="9"/>
      <c r="T112" s="6"/>
      <c r="U112" s="6" t="str">
        <f t="shared" si="15"/>
        <v>W26</v>
      </c>
      <c r="V112" s="7">
        <f t="shared" si="12"/>
        <v>14</v>
      </c>
      <c r="W112" s="7">
        <f t="shared" si="13"/>
        <v>27114</v>
      </c>
      <c r="X112" s="2">
        <f t="shared" si="14"/>
        <v>21897</v>
      </c>
    </row>
    <row r="113" spans="1:24" x14ac:dyDescent="0.3">
      <c r="A113" t="s">
        <v>41</v>
      </c>
      <c r="B113" t="s">
        <v>126</v>
      </c>
      <c r="C113" s="13"/>
      <c r="D113" s="13">
        <v>36242</v>
      </c>
      <c r="E113" s="13">
        <v>485</v>
      </c>
      <c r="F113" s="13">
        <v>7516968</v>
      </c>
      <c r="G113" s="12"/>
      <c r="H113" s="12"/>
      <c r="I113" s="12"/>
      <c r="J113" s="13"/>
      <c r="K113" t="s">
        <v>251</v>
      </c>
      <c r="L113" s="13">
        <v>7621427</v>
      </c>
      <c r="N113" t="s">
        <v>130</v>
      </c>
      <c r="O113" s="13">
        <v>25478</v>
      </c>
      <c r="P113" s="13">
        <v>26272</v>
      </c>
      <c r="Q113" s="1"/>
      <c r="R113" s="1"/>
      <c r="S113" s="9"/>
      <c r="T113" s="6"/>
      <c r="U113" s="6" t="str">
        <f t="shared" si="15"/>
        <v>W12</v>
      </c>
      <c r="V113" s="7">
        <f t="shared" si="12"/>
        <v>15</v>
      </c>
      <c r="W113" s="7">
        <f t="shared" si="13"/>
        <v>31435</v>
      </c>
      <c r="X113" s="2">
        <f t="shared" si="14"/>
        <v>25478</v>
      </c>
    </row>
    <row r="114" spans="1:24" x14ac:dyDescent="0.3">
      <c r="A114" t="s">
        <v>41</v>
      </c>
      <c r="B114" t="s">
        <v>60</v>
      </c>
      <c r="C114" s="13"/>
      <c r="D114" s="13">
        <v>21722</v>
      </c>
      <c r="E114" s="13">
        <v>438</v>
      </c>
      <c r="F114" s="13">
        <v>7717525</v>
      </c>
      <c r="G114" s="12"/>
      <c r="H114" s="12"/>
      <c r="I114" s="12"/>
      <c r="J114" s="13"/>
      <c r="K114" t="s">
        <v>108</v>
      </c>
      <c r="L114" s="13">
        <v>7182103</v>
      </c>
      <c r="N114" t="s">
        <v>124</v>
      </c>
      <c r="O114" s="13">
        <v>40177</v>
      </c>
      <c r="P114" s="13">
        <v>22964</v>
      </c>
      <c r="Q114" s="1"/>
      <c r="R114" s="1"/>
      <c r="S114" s="9"/>
      <c r="T114" s="6"/>
      <c r="U114" s="6" t="str">
        <f t="shared" si="15"/>
        <v>W27</v>
      </c>
      <c r="V114" s="7">
        <f t="shared" si="12"/>
        <v>16</v>
      </c>
      <c r="W114" s="7">
        <f t="shared" si="13"/>
        <v>49394</v>
      </c>
      <c r="X114" s="2">
        <f t="shared" si="14"/>
        <v>40177</v>
      </c>
    </row>
    <row r="115" spans="1:24" x14ac:dyDescent="0.3">
      <c r="A115" t="s">
        <v>41</v>
      </c>
      <c r="B115" t="s">
        <v>252</v>
      </c>
      <c r="C115" s="13"/>
      <c r="D115" s="13">
        <v>30923</v>
      </c>
      <c r="E115" s="13">
        <v>315</v>
      </c>
      <c r="F115" s="13">
        <v>7242969</v>
      </c>
      <c r="G115" s="12"/>
      <c r="H115" s="12"/>
      <c r="I115" s="12"/>
      <c r="J115" s="13"/>
      <c r="K115" t="s">
        <v>51</v>
      </c>
      <c r="L115" s="13">
        <v>7371592</v>
      </c>
      <c r="N115" t="s">
        <v>165</v>
      </c>
      <c r="O115" s="13">
        <v>24858</v>
      </c>
      <c r="P115" s="13">
        <v>26500</v>
      </c>
      <c r="Q115" s="1"/>
      <c r="R115" s="1"/>
      <c r="S115" s="9"/>
      <c r="T115" s="6" t="s">
        <v>99</v>
      </c>
      <c r="U115" s="6" t="str">
        <f t="shared" si="15"/>
        <v>W18</v>
      </c>
      <c r="V115" s="7">
        <f t="shared" si="12"/>
        <v>17</v>
      </c>
      <c r="W115" s="7">
        <f t="shared" si="13"/>
        <v>30451</v>
      </c>
      <c r="X115" s="2">
        <f t="shared" si="14"/>
        <v>24858</v>
      </c>
    </row>
    <row r="116" spans="1:24" x14ac:dyDescent="0.3">
      <c r="A116" t="s">
        <v>105</v>
      </c>
      <c r="B116" t="s">
        <v>253</v>
      </c>
      <c r="C116" s="13"/>
      <c r="D116" s="13">
        <v>35958</v>
      </c>
      <c r="E116" s="13">
        <v>445</v>
      </c>
      <c r="F116" s="13">
        <v>7109181</v>
      </c>
      <c r="G116" s="12"/>
      <c r="H116" s="12"/>
      <c r="I116" s="12"/>
      <c r="J116" s="13"/>
      <c r="K116" t="s">
        <v>57</v>
      </c>
      <c r="L116" s="13">
        <v>7941492</v>
      </c>
      <c r="N116" t="s">
        <v>58</v>
      </c>
      <c r="O116" s="13">
        <v>34633</v>
      </c>
      <c r="P116" s="13">
        <v>32093</v>
      </c>
      <c r="Q116" s="1"/>
      <c r="R116" s="1"/>
      <c r="S116" s="9"/>
      <c r="T116" s="6"/>
      <c r="U116" s="6" t="str">
        <f t="shared" si="15"/>
        <v>W04</v>
      </c>
      <c r="V116" s="7">
        <f t="shared" si="12"/>
        <v>18</v>
      </c>
      <c r="W116" s="7">
        <f t="shared" si="13"/>
        <v>42273</v>
      </c>
      <c r="X116" s="2">
        <f t="shared" si="14"/>
        <v>34633</v>
      </c>
    </row>
    <row r="117" spans="1:24" x14ac:dyDescent="0.3">
      <c r="A117" t="s">
        <v>105</v>
      </c>
      <c r="B117" t="s">
        <v>230</v>
      </c>
      <c r="C117" s="13"/>
      <c r="D117" s="13">
        <v>39172</v>
      </c>
      <c r="E117" s="13">
        <v>457</v>
      </c>
      <c r="F117" s="13">
        <v>7206474</v>
      </c>
      <c r="G117" s="12"/>
      <c r="H117" s="12"/>
      <c r="I117" s="12"/>
      <c r="J117" s="13"/>
      <c r="K117" t="s">
        <v>254</v>
      </c>
      <c r="L117" s="13">
        <v>7554825</v>
      </c>
      <c r="N117" t="s">
        <v>255</v>
      </c>
      <c r="O117" s="13">
        <v>27678</v>
      </c>
      <c r="P117" s="13">
        <v>30224</v>
      </c>
      <c r="Q117" s="1"/>
      <c r="R117" s="1"/>
      <c r="S117" s="9"/>
      <c r="T117" s="6"/>
      <c r="U117" s="6" t="str">
        <f t="shared" si="15"/>
        <v>W19</v>
      </c>
      <c r="V117" s="7">
        <f t="shared" si="12"/>
        <v>19</v>
      </c>
      <c r="W117" s="7">
        <f t="shared" si="13"/>
        <v>33661</v>
      </c>
      <c r="X117" s="2">
        <f t="shared" si="14"/>
        <v>27678</v>
      </c>
    </row>
    <row r="118" spans="1:24" x14ac:dyDescent="0.3">
      <c r="A118" t="s">
        <v>125</v>
      </c>
      <c r="B118" t="s">
        <v>256</v>
      </c>
      <c r="C118" s="13"/>
      <c r="D118" s="13">
        <v>32539</v>
      </c>
      <c r="E118" s="13">
        <v>272</v>
      </c>
      <c r="F118" s="13">
        <v>7275885</v>
      </c>
      <c r="G118" s="12"/>
      <c r="H118" s="12"/>
      <c r="I118" s="12"/>
      <c r="J118" s="13"/>
      <c r="K118" t="s">
        <v>212</v>
      </c>
      <c r="L118" s="13">
        <v>7005457</v>
      </c>
      <c r="N118" t="s">
        <v>257</v>
      </c>
      <c r="O118" s="13">
        <v>27576</v>
      </c>
      <c r="P118" s="13">
        <v>38822</v>
      </c>
      <c r="Q118" s="1"/>
      <c r="R118" s="1"/>
      <c r="S118" s="9"/>
      <c r="T118" s="6"/>
      <c r="U118" s="6" t="str">
        <f t="shared" si="15"/>
        <v>W13</v>
      </c>
      <c r="V118" s="7">
        <f t="shared" si="12"/>
        <v>20</v>
      </c>
      <c r="W118" s="7">
        <f t="shared" si="13"/>
        <v>33416</v>
      </c>
      <c r="X118" s="2">
        <f t="shared" si="14"/>
        <v>27576</v>
      </c>
    </row>
    <row r="119" spans="1:24" x14ac:dyDescent="0.3">
      <c r="A119" t="s">
        <v>45</v>
      </c>
      <c r="B119" t="s">
        <v>258</v>
      </c>
      <c r="C119" s="13"/>
      <c r="D119" s="13">
        <v>27253</v>
      </c>
      <c r="E119" s="13">
        <v>162</v>
      </c>
      <c r="F119" s="13">
        <v>7590647</v>
      </c>
      <c r="G119" s="12"/>
      <c r="H119" s="12"/>
      <c r="I119" s="12"/>
      <c r="J119" s="13"/>
      <c r="K119" t="s">
        <v>259</v>
      </c>
      <c r="L119" s="13">
        <v>7470907</v>
      </c>
      <c r="N119" t="s">
        <v>241</v>
      </c>
      <c r="O119" s="13">
        <v>27127</v>
      </c>
      <c r="P119" s="13">
        <v>25022</v>
      </c>
      <c r="Q119" s="1"/>
      <c r="R119" s="1"/>
      <c r="S119" s="9"/>
      <c r="T119" s="6"/>
      <c r="U119" s="6" t="str">
        <f t="shared" si="15"/>
        <v>W21</v>
      </c>
      <c r="V119" s="7">
        <f t="shared" si="12"/>
        <v>21</v>
      </c>
      <c r="W119" s="7">
        <f t="shared" si="13"/>
        <v>32752</v>
      </c>
      <c r="X119" s="2">
        <f t="shared" si="14"/>
        <v>27127</v>
      </c>
    </row>
    <row r="120" spans="1:24" x14ac:dyDescent="0.3">
      <c r="A120" t="s">
        <v>59</v>
      </c>
      <c r="B120" t="s">
        <v>249</v>
      </c>
      <c r="C120" s="13"/>
      <c r="D120" s="13">
        <v>30937</v>
      </c>
      <c r="E120" s="13">
        <v>476</v>
      </c>
      <c r="F120" s="13">
        <v>7907802</v>
      </c>
      <c r="G120" s="12"/>
      <c r="H120" s="12"/>
      <c r="I120" s="12"/>
      <c r="J120" s="13"/>
      <c r="K120" t="s">
        <v>77</v>
      </c>
      <c r="L120" s="13">
        <v>7590789</v>
      </c>
      <c r="N120" t="s">
        <v>91</v>
      </c>
      <c r="O120" s="13">
        <v>30115</v>
      </c>
      <c r="P120" s="13">
        <v>33792</v>
      </c>
      <c r="Q120" s="1"/>
      <c r="R120" s="1"/>
      <c r="S120" s="9"/>
      <c r="T120" s="6"/>
      <c r="U120" s="6" t="str">
        <f t="shared" si="15"/>
        <v>W09</v>
      </c>
      <c r="V120" s="7">
        <f t="shared" si="12"/>
        <v>22</v>
      </c>
      <c r="W120" s="7">
        <f t="shared" si="13"/>
        <v>36227</v>
      </c>
      <c r="X120" s="2">
        <f t="shared" si="14"/>
        <v>30115</v>
      </c>
    </row>
    <row r="121" spans="1:24" x14ac:dyDescent="0.3">
      <c r="A121" t="s">
        <v>105</v>
      </c>
      <c r="B121" t="s">
        <v>260</v>
      </c>
      <c r="C121" s="13"/>
      <c r="D121" s="13">
        <v>35515</v>
      </c>
      <c r="E121" s="13">
        <v>450</v>
      </c>
      <c r="F121" s="13">
        <v>7098359</v>
      </c>
      <c r="G121" s="12"/>
      <c r="H121" s="12"/>
      <c r="I121" s="12"/>
      <c r="J121" s="13"/>
      <c r="K121" t="s">
        <v>227</v>
      </c>
      <c r="L121" s="13">
        <v>7620066</v>
      </c>
      <c r="N121" t="s">
        <v>162</v>
      </c>
      <c r="O121" s="13">
        <v>26061</v>
      </c>
      <c r="P121" s="13">
        <v>22759</v>
      </c>
      <c r="Q121" s="12"/>
      <c r="R121" s="12"/>
      <c r="S121" s="9"/>
      <c r="T121" s="6"/>
      <c r="U121" s="6" t="str">
        <f t="shared" si="15"/>
        <v>W23</v>
      </c>
      <c r="V121" s="7">
        <f t="shared" si="12"/>
        <v>23</v>
      </c>
      <c r="W121" s="7">
        <f t="shared" si="13"/>
        <v>31235</v>
      </c>
      <c r="X121" s="2">
        <f t="shared" si="14"/>
        <v>26061</v>
      </c>
    </row>
    <row r="122" spans="1:24" x14ac:dyDescent="0.3">
      <c r="A122" t="s">
        <v>63</v>
      </c>
      <c r="B122" t="s">
        <v>261</v>
      </c>
      <c r="C122" s="13"/>
      <c r="D122" s="13">
        <v>33914</v>
      </c>
      <c r="E122" s="13">
        <v>294</v>
      </c>
      <c r="F122" s="13">
        <v>7486606</v>
      </c>
      <c r="G122" s="12"/>
      <c r="H122" s="12"/>
      <c r="I122" s="12"/>
      <c r="J122" s="13"/>
      <c r="K122" t="s">
        <v>262</v>
      </c>
      <c r="L122" s="13">
        <v>7919206</v>
      </c>
      <c r="N122" t="s">
        <v>65</v>
      </c>
      <c r="O122" s="13">
        <v>30844</v>
      </c>
      <c r="P122" s="13">
        <v>28070</v>
      </c>
      <c r="Q122" s="12"/>
      <c r="R122" s="12"/>
      <c r="S122" s="9"/>
      <c r="T122" s="6"/>
      <c r="U122" s="6" t="str">
        <f t="shared" si="15"/>
        <v>W09</v>
      </c>
      <c r="V122" s="7">
        <f t="shared" si="12"/>
        <v>24</v>
      </c>
      <c r="W122" s="7">
        <f t="shared" si="13"/>
        <v>36831</v>
      </c>
      <c r="X122" s="2">
        <f t="shared" si="14"/>
        <v>30844</v>
      </c>
    </row>
    <row r="123" spans="1:24" x14ac:dyDescent="0.3">
      <c r="A123" t="s">
        <v>99</v>
      </c>
      <c r="B123" t="s">
        <v>60</v>
      </c>
      <c r="C123" s="13"/>
      <c r="D123" s="13">
        <v>33756</v>
      </c>
      <c r="E123" s="13">
        <v>457</v>
      </c>
      <c r="F123" s="13">
        <v>7775871</v>
      </c>
      <c r="G123" s="12"/>
      <c r="H123" s="12"/>
      <c r="I123" s="12"/>
      <c r="J123" s="13"/>
      <c r="K123" t="s">
        <v>263</v>
      </c>
      <c r="L123" s="13">
        <v>7616233</v>
      </c>
      <c r="N123" t="s">
        <v>130</v>
      </c>
      <c r="O123" s="13">
        <v>25393</v>
      </c>
      <c r="P123" s="13">
        <v>29226</v>
      </c>
      <c r="Q123" s="12"/>
      <c r="R123" s="12"/>
      <c r="S123" s="9"/>
      <c r="T123" s="6"/>
      <c r="U123" s="6" t="str">
        <f t="shared" si="15"/>
        <v>W12</v>
      </c>
      <c r="V123" s="7">
        <f t="shared" si="12"/>
        <v>25</v>
      </c>
      <c r="W123" s="7">
        <f t="shared" si="13"/>
        <v>30210</v>
      </c>
      <c r="X123" s="2">
        <f t="shared" si="14"/>
        <v>25393</v>
      </c>
    </row>
    <row r="124" spans="1:24" x14ac:dyDescent="0.3">
      <c r="A124" t="s">
        <v>105</v>
      </c>
      <c r="B124" t="s">
        <v>264</v>
      </c>
      <c r="C124" s="13"/>
      <c r="D124" s="13">
        <v>27802</v>
      </c>
      <c r="E124" s="13">
        <v>396</v>
      </c>
      <c r="F124" s="13">
        <v>7532964</v>
      </c>
      <c r="G124" s="12"/>
      <c r="H124" s="12"/>
      <c r="I124" s="12"/>
      <c r="J124" s="13"/>
      <c r="K124" t="s">
        <v>254</v>
      </c>
      <c r="L124" s="13">
        <v>8002962</v>
      </c>
      <c r="N124" t="s">
        <v>161</v>
      </c>
      <c r="O124" s="13">
        <v>29529</v>
      </c>
      <c r="P124" s="13">
        <v>31698</v>
      </c>
      <c r="Q124" s="12"/>
      <c r="R124" s="12"/>
      <c r="S124" s="9"/>
      <c r="T124" s="6"/>
      <c r="U124" s="6" t="str">
        <f t="shared" si="15"/>
        <v>W37</v>
      </c>
      <c r="V124" s="7">
        <f t="shared" si="12"/>
        <v>26</v>
      </c>
      <c r="W124" s="7">
        <f t="shared" si="13"/>
        <v>35001</v>
      </c>
      <c r="X124" s="2">
        <f t="shared" si="14"/>
        <v>29529</v>
      </c>
    </row>
    <row r="125" spans="1:24" x14ac:dyDescent="0.3">
      <c r="A125" t="s">
        <v>49</v>
      </c>
      <c r="B125" t="s">
        <v>265</v>
      </c>
      <c r="C125" s="13"/>
      <c r="D125" s="13">
        <v>34942</v>
      </c>
      <c r="E125" s="13">
        <v>427</v>
      </c>
      <c r="F125" s="13">
        <v>7225104</v>
      </c>
      <c r="G125" s="12"/>
      <c r="H125" s="12"/>
      <c r="I125" s="12"/>
      <c r="J125" s="13"/>
      <c r="K125" t="s">
        <v>135</v>
      </c>
      <c r="L125" s="13">
        <v>7068542</v>
      </c>
      <c r="N125" t="s">
        <v>121</v>
      </c>
      <c r="O125" s="13">
        <v>26555</v>
      </c>
      <c r="P125" s="13">
        <v>23276</v>
      </c>
      <c r="Q125" s="12"/>
      <c r="R125" s="12"/>
      <c r="S125" s="9"/>
      <c r="T125" s="6"/>
      <c r="U125" s="6" t="str">
        <f t="shared" si="15"/>
        <v>W50</v>
      </c>
      <c r="V125" s="7">
        <f t="shared" si="12"/>
        <v>27</v>
      </c>
      <c r="W125" s="7">
        <f t="shared" si="13"/>
        <v>31358</v>
      </c>
      <c r="X125" s="2">
        <f t="shared" si="14"/>
        <v>26555</v>
      </c>
    </row>
    <row r="126" spans="1:24" x14ac:dyDescent="0.3">
      <c r="A126" t="s">
        <v>78</v>
      </c>
      <c r="B126" t="s">
        <v>54</v>
      </c>
      <c r="C126" s="13"/>
      <c r="D126" s="13">
        <v>28236</v>
      </c>
      <c r="E126" s="13">
        <v>445</v>
      </c>
      <c r="F126" s="13">
        <v>7948763</v>
      </c>
      <c r="G126" s="12"/>
      <c r="H126" s="12"/>
      <c r="I126" s="12"/>
      <c r="J126" s="13"/>
      <c r="K126" t="s">
        <v>199</v>
      </c>
      <c r="L126" s="13">
        <v>7297552</v>
      </c>
      <c r="N126" t="s">
        <v>58</v>
      </c>
      <c r="O126" s="13">
        <v>30824</v>
      </c>
      <c r="P126" s="13">
        <v>30118</v>
      </c>
      <c r="Q126" s="12"/>
      <c r="R126" s="12"/>
      <c r="S126" s="9"/>
      <c r="T126" s="6"/>
      <c r="U126" s="6" t="str">
        <f t="shared" si="15"/>
        <v>W04</v>
      </c>
      <c r="V126" s="7">
        <f t="shared" si="12"/>
        <v>28</v>
      </c>
      <c r="W126" s="7">
        <f t="shared" si="13"/>
        <v>36264</v>
      </c>
      <c r="X126" s="2">
        <f t="shared" si="14"/>
        <v>30824</v>
      </c>
    </row>
    <row r="127" spans="1:24" x14ac:dyDescent="0.3">
      <c r="A127" t="s">
        <v>125</v>
      </c>
      <c r="B127" t="s">
        <v>70</v>
      </c>
      <c r="C127" s="13"/>
      <c r="D127" s="13">
        <v>24951</v>
      </c>
      <c r="E127" s="13">
        <v>158</v>
      </c>
      <c r="F127" s="13">
        <v>7478306</v>
      </c>
      <c r="G127" s="12"/>
      <c r="H127" s="12"/>
      <c r="I127" s="12"/>
      <c r="J127" s="13"/>
      <c r="K127" t="s">
        <v>44</v>
      </c>
      <c r="L127" s="13">
        <v>7690495</v>
      </c>
      <c r="N127" t="s">
        <v>92</v>
      </c>
      <c r="O127" s="13">
        <v>37944</v>
      </c>
      <c r="P127" s="13">
        <v>36062</v>
      </c>
      <c r="Q127" s="12"/>
      <c r="R127" s="12"/>
      <c r="S127" s="9"/>
      <c r="T127" s="6"/>
      <c r="U127" s="6" t="str">
        <f t="shared" si="15"/>
        <v>W27</v>
      </c>
      <c r="V127" s="7">
        <f t="shared" si="12"/>
        <v>29</v>
      </c>
      <c r="W127" s="7">
        <f t="shared" si="13"/>
        <v>44473</v>
      </c>
      <c r="X127" s="2">
        <f t="shared" si="14"/>
        <v>37944</v>
      </c>
    </row>
    <row r="128" spans="1:24" x14ac:dyDescent="0.3">
      <c r="A128" t="s">
        <v>99</v>
      </c>
      <c r="B128" t="s">
        <v>96</v>
      </c>
      <c r="C128" s="13"/>
      <c r="D128" s="13">
        <v>22389</v>
      </c>
      <c r="E128" s="13">
        <v>119</v>
      </c>
      <c r="F128" s="13">
        <v>7920261</v>
      </c>
      <c r="G128" s="12"/>
      <c r="H128" s="12"/>
      <c r="I128" s="12"/>
      <c r="J128" s="13"/>
      <c r="K128" t="s">
        <v>152</v>
      </c>
      <c r="L128" s="13">
        <v>8028628</v>
      </c>
      <c r="N128" t="s">
        <v>48</v>
      </c>
      <c r="O128" s="13">
        <v>22791</v>
      </c>
      <c r="P128" s="13">
        <v>41290</v>
      </c>
      <c r="Q128" s="12"/>
      <c r="R128" s="12"/>
      <c r="S128" s="9"/>
      <c r="T128" s="6" t="s">
        <v>63</v>
      </c>
      <c r="U128" s="6" t="str">
        <f t="shared" si="15"/>
        <v>W26</v>
      </c>
      <c r="V128" s="7">
        <f t="shared" si="12"/>
        <v>30</v>
      </c>
      <c r="W128" s="7">
        <f t="shared" si="13"/>
        <v>26612</v>
      </c>
      <c r="X128" s="2">
        <f t="shared" si="14"/>
        <v>22791</v>
      </c>
    </row>
    <row r="129" spans="1:24" x14ac:dyDescent="0.3">
      <c r="A129" t="s">
        <v>41</v>
      </c>
      <c r="B129" t="s">
        <v>231</v>
      </c>
      <c r="C129" s="13"/>
      <c r="D129" s="13">
        <v>34487</v>
      </c>
      <c r="E129" s="13">
        <v>124</v>
      </c>
      <c r="F129" s="13">
        <v>7583443</v>
      </c>
      <c r="G129" s="12"/>
      <c r="H129" s="12"/>
      <c r="I129" s="12"/>
      <c r="J129" s="13"/>
      <c r="K129" t="s">
        <v>262</v>
      </c>
      <c r="L129" s="13">
        <v>7758342</v>
      </c>
      <c r="N129" t="s">
        <v>247</v>
      </c>
      <c r="O129" s="13">
        <v>21312</v>
      </c>
      <c r="P129" s="13">
        <v>29694</v>
      </c>
      <c r="Q129" s="12"/>
      <c r="R129" s="12"/>
      <c r="S129" s="9"/>
      <c r="T129" s="6"/>
      <c r="U129" s="6" t="str">
        <f t="shared" si="15"/>
        <v>W32</v>
      </c>
      <c r="V129" s="7">
        <f t="shared" si="12"/>
        <v>31</v>
      </c>
      <c r="W129" s="7">
        <f t="shared" si="13"/>
        <v>24791</v>
      </c>
      <c r="X129" s="2">
        <f t="shared" si="14"/>
        <v>21312</v>
      </c>
    </row>
    <row r="130" spans="1:24" x14ac:dyDescent="0.3">
      <c r="A130" t="s">
        <v>59</v>
      </c>
      <c r="B130" t="s">
        <v>102</v>
      </c>
      <c r="C130" s="13"/>
      <c r="D130" s="13">
        <v>33071</v>
      </c>
      <c r="E130" s="13">
        <v>276</v>
      </c>
      <c r="F130" s="13">
        <v>7942879</v>
      </c>
      <c r="G130" s="12"/>
      <c r="H130" s="12"/>
      <c r="I130" s="12"/>
      <c r="J130" s="13"/>
      <c r="K130" t="s">
        <v>84</v>
      </c>
      <c r="L130" s="13">
        <v>7536713</v>
      </c>
      <c r="N130" t="s">
        <v>266</v>
      </c>
      <c r="O130" s="13">
        <v>29648</v>
      </c>
      <c r="P130" s="13">
        <v>28210</v>
      </c>
      <c r="Q130" s="12"/>
      <c r="R130" s="12"/>
      <c r="S130" s="9"/>
      <c r="T130" s="6"/>
      <c r="U130" s="6" t="str">
        <f t="shared" si="15"/>
        <v>W22</v>
      </c>
      <c r="V130" s="7">
        <f t="shared" si="12"/>
        <v>32</v>
      </c>
      <c r="W130" s="7">
        <f t="shared" si="13"/>
        <v>34357</v>
      </c>
      <c r="X130" s="2">
        <f t="shared" si="14"/>
        <v>29648</v>
      </c>
    </row>
    <row r="131" spans="1:24" x14ac:dyDescent="0.3">
      <c r="A131" t="s">
        <v>109</v>
      </c>
      <c r="B131" t="s">
        <v>264</v>
      </c>
      <c r="C131" s="13"/>
      <c r="D131" s="13">
        <v>29769</v>
      </c>
      <c r="E131" s="13">
        <v>466</v>
      </c>
      <c r="F131" s="13">
        <v>7790697</v>
      </c>
      <c r="G131" s="12"/>
      <c r="H131" s="12"/>
      <c r="I131" s="12"/>
      <c r="J131" s="13"/>
      <c r="K131" t="s">
        <v>117</v>
      </c>
      <c r="L131" s="13">
        <v>7884963</v>
      </c>
      <c r="N131" t="s">
        <v>267</v>
      </c>
      <c r="O131" s="13">
        <v>28258</v>
      </c>
      <c r="P131" s="13">
        <v>23842</v>
      </c>
      <c r="Q131" s="12"/>
      <c r="R131" s="12"/>
      <c r="S131" s="9"/>
      <c r="T131" s="6"/>
      <c r="U131" s="6" t="str">
        <f t="shared" si="15"/>
        <v>W18</v>
      </c>
      <c r="V131" s="7">
        <f t="shared" ref="V131:V166" si="16">V130+1</f>
        <v>33</v>
      </c>
      <c r="W131" s="7">
        <f t="shared" ref="W131:W162" si="17">ROUND(O131*($V$93-((($V$93-$V$94)/$V$95)*(V131-0))),0)</f>
        <v>32621</v>
      </c>
      <c r="X131" s="2">
        <f t="shared" ref="X131:X166" si="18">O131</f>
        <v>28258</v>
      </c>
    </row>
    <row r="132" spans="1:24" x14ac:dyDescent="0.3">
      <c r="A132" t="s">
        <v>59</v>
      </c>
      <c r="B132" t="s">
        <v>268</v>
      </c>
      <c r="C132" s="13"/>
      <c r="D132" s="13">
        <v>25174</v>
      </c>
      <c r="E132" s="13">
        <v>309</v>
      </c>
      <c r="F132" s="13">
        <v>7248618</v>
      </c>
      <c r="G132" s="12"/>
      <c r="H132" s="12"/>
      <c r="I132" s="12"/>
      <c r="J132" s="13"/>
      <c r="K132" t="s">
        <v>211</v>
      </c>
      <c r="L132" s="13">
        <v>7139419</v>
      </c>
      <c r="N132" t="s">
        <v>164</v>
      </c>
      <c r="O132" s="13">
        <v>26408</v>
      </c>
      <c r="P132" s="13">
        <v>30149</v>
      </c>
      <c r="Q132" s="1"/>
      <c r="R132" s="1"/>
      <c r="S132" s="9"/>
      <c r="T132" s="6"/>
      <c r="U132" s="6" t="str">
        <f t="shared" si="15"/>
        <v>W48</v>
      </c>
      <c r="V132" s="7">
        <f t="shared" si="16"/>
        <v>34</v>
      </c>
      <c r="W132" s="7">
        <f t="shared" si="17"/>
        <v>30369</v>
      </c>
      <c r="X132" s="2">
        <f t="shared" si="18"/>
        <v>26408</v>
      </c>
    </row>
    <row r="133" spans="1:24" x14ac:dyDescent="0.3">
      <c r="A133" t="s">
        <v>59</v>
      </c>
      <c r="B133" t="s">
        <v>269</v>
      </c>
      <c r="C133" s="13"/>
      <c r="D133" s="13">
        <v>40514</v>
      </c>
      <c r="E133" s="13">
        <v>203</v>
      </c>
      <c r="F133" s="13">
        <v>7261561</v>
      </c>
      <c r="G133" s="12"/>
      <c r="H133" s="12"/>
      <c r="I133" s="12"/>
      <c r="J133" s="13"/>
      <c r="K133" t="s">
        <v>128</v>
      </c>
      <c r="L133" s="13">
        <v>7140164</v>
      </c>
      <c r="N133" t="s">
        <v>142</v>
      </c>
      <c r="O133" s="13">
        <v>38066</v>
      </c>
      <c r="P133" s="13">
        <v>38495</v>
      </c>
      <c r="Q133" s="12"/>
      <c r="R133" s="12"/>
      <c r="S133" s="9"/>
      <c r="T133" s="6"/>
      <c r="U133" s="6" t="str">
        <f t="shared" si="15"/>
        <v>W33</v>
      </c>
      <c r="V133" s="7">
        <f t="shared" si="16"/>
        <v>35</v>
      </c>
      <c r="W133" s="7">
        <f t="shared" si="17"/>
        <v>43608</v>
      </c>
      <c r="X133" s="2">
        <f t="shared" si="18"/>
        <v>38066</v>
      </c>
    </row>
    <row r="134" spans="1:24" x14ac:dyDescent="0.3">
      <c r="A134" t="s">
        <v>105</v>
      </c>
      <c r="B134" t="s">
        <v>270</v>
      </c>
      <c r="C134" s="13"/>
      <c r="D134" s="13">
        <v>34877</v>
      </c>
      <c r="E134" s="13">
        <v>430</v>
      </c>
      <c r="F134" s="13">
        <v>7467331</v>
      </c>
      <c r="G134" s="12"/>
      <c r="H134" s="12"/>
      <c r="I134" s="12"/>
      <c r="J134" s="13"/>
      <c r="K134" t="s">
        <v>219</v>
      </c>
      <c r="L134" s="13">
        <v>7877426</v>
      </c>
      <c r="N134" t="s">
        <v>211</v>
      </c>
      <c r="O134" s="13">
        <v>39581</v>
      </c>
      <c r="P134" s="13">
        <v>22358</v>
      </c>
      <c r="Q134" s="12"/>
      <c r="R134" s="12"/>
      <c r="S134" s="9"/>
      <c r="T134" s="6"/>
      <c r="U134" s="6" t="str">
        <f t="shared" si="15"/>
        <v>W37</v>
      </c>
      <c r="V134" s="7">
        <f t="shared" si="16"/>
        <v>36</v>
      </c>
      <c r="W134" s="7">
        <f t="shared" si="17"/>
        <v>45169</v>
      </c>
      <c r="X134" s="2">
        <f t="shared" si="18"/>
        <v>39581</v>
      </c>
    </row>
    <row r="135" spans="1:24" x14ac:dyDescent="0.3">
      <c r="A135" t="s">
        <v>105</v>
      </c>
      <c r="B135" t="s">
        <v>270</v>
      </c>
      <c r="C135" s="13"/>
      <c r="D135" s="13">
        <v>36197</v>
      </c>
      <c r="E135" s="13">
        <v>357</v>
      </c>
      <c r="F135" s="13">
        <v>7274929</v>
      </c>
      <c r="G135" s="12"/>
      <c r="H135" s="12"/>
      <c r="I135" s="12"/>
      <c r="J135" s="13"/>
      <c r="K135" t="s">
        <v>271</v>
      </c>
      <c r="L135" s="13">
        <v>7487751</v>
      </c>
      <c r="N135" t="s">
        <v>88</v>
      </c>
      <c r="O135" s="13">
        <v>30950</v>
      </c>
      <c r="P135" s="13">
        <v>27073</v>
      </c>
      <c r="Q135" s="12"/>
      <c r="R135" s="12"/>
      <c r="S135" s="9"/>
      <c r="T135" s="6"/>
      <c r="U135" s="6" t="str">
        <f t="shared" si="15"/>
        <v>W48</v>
      </c>
      <c r="V135" s="7">
        <f t="shared" si="16"/>
        <v>37</v>
      </c>
      <c r="W135" s="7">
        <f t="shared" si="17"/>
        <v>35183</v>
      </c>
      <c r="X135" s="2">
        <f t="shared" si="18"/>
        <v>30950</v>
      </c>
    </row>
    <row r="136" spans="1:24" x14ac:dyDescent="0.3">
      <c r="A136" t="s">
        <v>41</v>
      </c>
      <c r="B136" t="s">
        <v>169</v>
      </c>
      <c r="C136" s="13"/>
      <c r="D136" s="13">
        <v>30967</v>
      </c>
      <c r="E136" s="13">
        <v>123</v>
      </c>
      <c r="F136" s="13">
        <v>7934924</v>
      </c>
      <c r="G136" s="12"/>
      <c r="H136" s="12"/>
      <c r="I136" s="12"/>
      <c r="J136" s="13"/>
      <c r="K136" t="s">
        <v>211</v>
      </c>
      <c r="L136" s="13">
        <v>7100116</v>
      </c>
      <c r="N136" t="s">
        <v>262</v>
      </c>
      <c r="O136" s="13">
        <v>27215</v>
      </c>
      <c r="P136" s="13">
        <v>21912</v>
      </c>
      <c r="Q136" s="12"/>
      <c r="R136" s="12"/>
      <c r="S136" s="9"/>
      <c r="T136" s="6"/>
      <c r="U136" s="6" t="str">
        <f t="shared" si="15"/>
        <v>W16</v>
      </c>
      <c r="V136" s="7">
        <f t="shared" si="16"/>
        <v>38</v>
      </c>
      <c r="W136" s="7">
        <f t="shared" si="17"/>
        <v>30817</v>
      </c>
      <c r="X136" s="2">
        <f t="shared" si="18"/>
        <v>27215</v>
      </c>
    </row>
    <row r="137" spans="1:24" x14ac:dyDescent="0.3">
      <c r="A137" t="s">
        <v>49</v>
      </c>
      <c r="B137" t="s">
        <v>272</v>
      </c>
      <c r="C137" s="13"/>
      <c r="D137" s="13">
        <v>34019</v>
      </c>
      <c r="E137" s="13">
        <v>267</v>
      </c>
      <c r="F137" s="13">
        <v>7324491</v>
      </c>
      <c r="G137" s="12"/>
      <c r="H137" s="12"/>
      <c r="I137" s="12"/>
      <c r="J137" s="13"/>
      <c r="K137" t="s">
        <v>209</v>
      </c>
      <c r="L137" s="13">
        <v>7591280</v>
      </c>
      <c r="N137" t="s">
        <v>127</v>
      </c>
      <c r="O137" s="13">
        <v>38361</v>
      </c>
      <c r="P137" s="13">
        <v>31700</v>
      </c>
      <c r="Q137" s="12"/>
      <c r="R137" s="12"/>
      <c r="S137" s="9"/>
      <c r="T137" s="6"/>
      <c r="U137" s="6" t="str">
        <f t="shared" si="15"/>
        <v>W20</v>
      </c>
      <c r="V137" s="7">
        <f t="shared" si="16"/>
        <v>39</v>
      </c>
      <c r="W137" s="7">
        <f t="shared" si="17"/>
        <v>43269</v>
      </c>
      <c r="X137" s="2">
        <f t="shared" si="18"/>
        <v>38361</v>
      </c>
    </row>
    <row r="138" spans="1:24" x14ac:dyDescent="0.3">
      <c r="A138" t="s">
        <v>53</v>
      </c>
      <c r="B138" t="s">
        <v>118</v>
      </c>
      <c r="C138" s="13"/>
      <c r="D138" s="13">
        <v>24609</v>
      </c>
      <c r="E138" s="13">
        <v>364</v>
      </c>
      <c r="F138" s="13">
        <v>7036877</v>
      </c>
      <c r="G138" s="12"/>
      <c r="H138" s="12"/>
      <c r="I138" s="12"/>
      <c r="J138" s="13"/>
      <c r="K138" t="s">
        <v>103</v>
      </c>
      <c r="L138" s="13">
        <v>7266245</v>
      </c>
      <c r="N138" t="s">
        <v>220</v>
      </c>
      <c r="O138" s="13">
        <v>35364</v>
      </c>
      <c r="P138" s="13">
        <v>31201</v>
      </c>
      <c r="Q138" s="12"/>
      <c r="R138" s="12"/>
      <c r="S138" s="9"/>
      <c r="T138" s="6"/>
      <c r="U138" s="6" t="str">
        <f t="shared" si="15"/>
        <v>W31</v>
      </c>
      <c r="V138" s="7">
        <f t="shared" si="16"/>
        <v>40</v>
      </c>
      <c r="W138" s="7">
        <f t="shared" si="17"/>
        <v>39732</v>
      </c>
      <c r="X138" s="2">
        <f t="shared" si="18"/>
        <v>35364</v>
      </c>
    </row>
    <row r="139" spans="1:24" x14ac:dyDescent="0.3">
      <c r="A139" t="s">
        <v>49</v>
      </c>
      <c r="B139" t="s">
        <v>273</v>
      </c>
      <c r="C139" s="13"/>
      <c r="D139" s="13">
        <v>28922</v>
      </c>
      <c r="E139" s="13">
        <v>221</v>
      </c>
      <c r="F139" s="13">
        <v>7104664</v>
      </c>
      <c r="G139" s="12"/>
      <c r="H139" s="12"/>
      <c r="I139" s="12"/>
      <c r="J139" s="13"/>
      <c r="K139" t="s">
        <v>135</v>
      </c>
      <c r="L139" s="13">
        <v>7194048</v>
      </c>
      <c r="N139" t="s">
        <v>168</v>
      </c>
      <c r="O139" s="13">
        <v>23994</v>
      </c>
      <c r="P139" s="13">
        <v>33304</v>
      </c>
      <c r="Q139" s="12"/>
      <c r="R139" s="12"/>
      <c r="S139" s="9"/>
      <c r="T139" s="6"/>
      <c r="U139" s="6" t="str">
        <f t="shared" ref="U139:U166" si="19">RIGHT(N139,3)</f>
        <v>W01</v>
      </c>
      <c r="V139" s="7">
        <f t="shared" si="16"/>
        <v>41</v>
      </c>
      <c r="W139" s="7">
        <f t="shared" si="17"/>
        <v>26852</v>
      </c>
      <c r="X139" s="2">
        <f t="shared" si="18"/>
        <v>23994</v>
      </c>
    </row>
    <row r="140" spans="1:24" x14ac:dyDescent="0.3">
      <c r="A140" t="s">
        <v>78</v>
      </c>
      <c r="B140" t="s">
        <v>102</v>
      </c>
      <c r="C140" s="13"/>
      <c r="D140" s="13">
        <v>20096</v>
      </c>
      <c r="E140" s="13">
        <v>304</v>
      </c>
      <c r="F140" s="13">
        <v>8003658</v>
      </c>
      <c r="G140" s="12"/>
      <c r="H140" s="12"/>
      <c r="I140" s="12"/>
      <c r="J140" s="13"/>
      <c r="K140" t="s">
        <v>135</v>
      </c>
      <c r="L140" s="13">
        <v>7374601</v>
      </c>
      <c r="N140" t="s">
        <v>176</v>
      </c>
      <c r="O140" s="13">
        <v>37953</v>
      </c>
      <c r="P140" s="13">
        <v>35062</v>
      </c>
      <c r="Q140" s="12"/>
      <c r="R140" s="12"/>
      <c r="S140" s="9"/>
      <c r="T140" s="6"/>
      <c r="U140" s="6" t="str">
        <f t="shared" si="19"/>
        <v>W36</v>
      </c>
      <c r="V140" s="7">
        <f t="shared" si="16"/>
        <v>42</v>
      </c>
      <c r="W140" s="7">
        <f t="shared" si="17"/>
        <v>42306</v>
      </c>
      <c r="X140" s="2">
        <f t="shared" si="18"/>
        <v>37953</v>
      </c>
    </row>
    <row r="141" spans="1:24" x14ac:dyDescent="0.3">
      <c r="A141" t="s">
        <v>200</v>
      </c>
      <c r="B141" t="s">
        <v>273</v>
      </c>
      <c r="C141" s="13"/>
      <c r="D141" s="13">
        <v>27320</v>
      </c>
      <c r="E141" s="13">
        <v>240</v>
      </c>
      <c r="F141" s="13">
        <v>7031991</v>
      </c>
      <c r="G141" s="12"/>
      <c r="H141" s="12"/>
      <c r="I141" s="12"/>
      <c r="J141" s="13"/>
      <c r="K141" t="s">
        <v>188</v>
      </c>
      <c r="L141" s="13">
        <v>7277833</v>
      </c>
      <c r="N141" t="s">
        <v>65</v>
      </c>
      <c r="O141" s="13">
        <v>21860</v>
      </c>
      <c r="P141" s="13">
        <v>20798</v>
      </c>
      <c r="Q141" s="12"/>
      <c r="R141" s="12"/>
      <c r="S141" s="9"/>
      <c r="T141" s="6" t="s">
        <v>53</v>
      </c>
      <c r="U141" s="6" t="str">
        <f t="shared" si="19"/>
        <v>W09</v>
      </c>
      <c r="V141" s="7">
        <f t="shared" si="16"/>
        <v>43</v>
      </c>
      <c r="W141" s="7">
        <f t="shared" si="17"/>
        <v>24271</v>
      </c>
      <c r="X141" s="2">
        <f t="shared" si="18"/>
        <v>21860</v>
      </c>
    </row>
    <row r="142" spans="1:24" x14ac:dyDescent="0.3">
      <c r="A142" t="s">
        <v>200</v>
      </c>
      <c r="B142" t="s">
        <v>274</v>
      </c>
      <c r="C142" s="13"/>
      <c r="D142" s="13">
        <v>32315</v>
      </c>
      <c r="E142" s="13">
        <v>239</v>
      </c>
      <c r="F142" s="13">
        <v>7012632</v>
      </c>
      <c r="G142" s="12"/>
      <c r="H142" s="12"/>
      <c r="I142" s="12"/>
      <c r="J142" s="13"/>
      <c r="K142" t="s">
        <v>80</v>
      </c>
      <c r="L142" s="13">
        <v>7470254</v>
      </c>
      <c r="N142" t="s">
        <v>146</v>
      </c>
      <c r="O142" s="13">
        <v>31942</v>
      </c>
      <c r="P142" s="13">
        <v>31357</v>
      </c>
      <c r="Q142" s="12"/>
      <c r="R142" s="12"/>
      <c r="S142" s="9"/>
      <c r="T142" s="6"/>
      <c r="U142" s="6" t="str">
        <f t="shared" si="19"/>
        <v>W08</v>
      </c>
      <c r="V142" s="7">
        <f t="shared" si="16"/>
        <v>44</v>
      </c>
      <c r="W142" s="7">
        <f t="shared" si="17"/>
        <v>35324</v>
      </c>
      <c r="X142" s="2">
        <f t="shared" si="18"/>
        <v>31942</v>
      </c>
    </row>
    <row r="143" spans="1:24" x14ac:dyDescent="0.3">
      <c r="A143" t="s">
        <v>125</v>
      </c>
      <c r="B143" t="s">
        <v>93</v>
      </c>
      <c r="C143" s="13"/>
      <c r="D143" s="13">
        <v>23435</v>
      </c>
      <c r="E143" s="13">
        <v>239</v>
      </c>
      <c r="F143" s="13">
        <v>7704304</v>
      </c>
      <c r="G143" s="12"/>
      <c r="H143" s="12"/>
      <c r="I143" s="12"/>
      <c r="J143" s="13"/>
      <c r="K143" t="s">
        <v>189</v>
      </c>
      <c r="L143" s="13">
        <v>7874826</v>
      </c>
      <c r="N143" t="s">
        <v>177</v>
      </c>
      <c r="O143" s="13">
        <v>40966</v>
      </c>
      <c r="P143" s="13">
        <v>28043</v>
      </c>
      <c r="Q143" s="12"/>
      <c r="R143" s="12"/>
      <c r="S143" s="9"/>
      <c r="T143" s="6"/>
      <c r="U143" s="6" t="str">
        <f t="shared" si="19"/>
        <v>W23</v>
      </c>
      <c r="V143" s="7">
        <f t="shared" si="16"/>
        <v>45</v>
      </c>
      <c r="W143" s="7">
        <f t="shared" si="17"/>
        <v>45123</v>
      </c>
      <c r="X143" s="2">
        <f t="shared" si="18"/>
        <v>40966</v>
      </c>
    </row>
    <row r="144" spans="1:24" x14ac:dyDescent="0.3">
      <c r="A144" t="s">
        <v>63</v>
      </c>
      <c r="B144" t="s">
        <v>275</v>
      </c>
      <c r="C144" s="13"/>
      <c r="D144" s="13">
        <v>37008</v>
      </c>
      <c r="E144" s="13">
        <v>199</v>
      </c>
      <c r="F144" s="13">
        <v>7723136</v>
      </c>
      <c r="G144" s="12"/>
      <c r="H144" s="12"/>
      <c r="I144" s="12"/>
      <c r="J144" s="13"/>
      <c r="K144" t="s">
        <v>179</v>
      </c>
      <c r="L144" s="13">
        <v>7437058</v>
      </c>
      <c r="N144" t="s">
        <v>276</v>
      </c>
      <c r="O144" s="13">
        <v>29557</v>
      </c>
      <c r="P144" s="13">
        <v>23681</v>
      </c>
      <c r="Q144" s="12"/>
      <c r="R144" s="12"/>
      <c r="S144" s="9"/>
      <c r="T144" s="6"/>
      <c r="U144" s="6" t="str">
        <f t="shared" si="19"/>
        <v>W49</v>
      </c>
      <c r="V144" s="7">
        <f t="shared" si="16"/>
        <v>46</v>
      </c>
      <c r="W144" s="7">
        <f t="shared" si="17"/>
        <v>32426</v>
      </c>
      <c r="X144" s="2">
        <f t="shared" si="18"/>
        <v>29557</v>
      </c>
    </row>
    <row r="145" spans="1:24" x14ac:dyDescent="0.3">
      <c r="A145" t="s">
        <v>109</v>
      </c>
      <c r="B145" t="s">
        <v>249</v>
      </c>
      <c r="C145" s="13"/>
      <c r="D145" s="13">
        <v>39124</v>
      </c>
      <c r="E145" s="13">
        <v>422</v>
      </c>
      <c r="F145" s="13">
        <v>7458622</v>
      </c>
      <c r="G145" s="12"/>
      <c r="H145" s="12"/>
      <c r="I145" s="12"/>
      <c r="J145" s="13"/>
      <c r="K145" t="s">
        <v>255</v>
      </c>
      <c r="L145" s="13">
        <v>7871159</v>
      </c>
      <c r="N145" t="s">
        <v>95</v>
      </c>
      <c r="O145" s="13">
        <v>28130</v>
      </c>
      <c r="P145" s="13">
        <v>33285</v>
      </c>
      <c r="Q145" s="12"/>
      <c r="R145" s="12"/>
      <c r="S145" s="9"/>
      <c r="T145" s="6"/>
      <c r="U145" s="6" t="str">
        <f t="shared" si="19"/>
        <v>W29</v>
      </c>
      <c r="V145" s="7">
        <f t="shared" si="16"/>
        <v>47</v>
      </c>
      <c r="W145" s="7">
        <f t="shared" si="17"/>
        <v>30736</v>
      </c>
      <c r="X145" s="2">
        <f t="shared" si="18"/>
        <v>28130</v>
      </c>
    </row>
    <row r="146" spans="1:24" x14ac:dyDescent="0.3">
      <c r="A146" t="s">
        <v>49</v>
      </c>
      <c r="B146" t="s">
        <v>277</v>
      </c>
      <c r="C146" s="13"/>
      <c r="D146" s="13">
        <v>34708</v>
      </c>
      <c r="E146" s="13">
        <v>458</v>
      </c>
      <c r="F146" s="13">
        <v>7723400</v>
      </c>
      <c r="G146" s="12"/>
      <c r="H146" s="12"/>
      <c r="I146" s="12"/>
      <c r="J146" s="13"/>
      <c r="K146" t="s">
        <v>184</v>
      </c>
      <c r="L146" s="13">
        <v>7571316</v>
      </c>
      <c r="N146" t="s">
        <v>185</v>
      </c>
      <c r="O146" s="13">
        <v>20490</v>
      </c>
      <c r="P146" s="13">
        <v>26445</v>
      </c>
      <c r="Q146" s="12"/>
      <c r="R146" s="12"/>
      <c r="S146" s="9"/>
      <c r="T146" s="6"/>
      <c r="U146" s="6" t="str">
        <f t="shared" si="19"/>
        <v>W45</v>
      </c>
      <c r="V146" s="7">
        <f t="shared" si="16"/>
        <v>48</v>
      </c>
      <c r="W146" s="7">
        <f t="shared" si="17"/>
        <v>22298</v>
      </c>
      <c r="X146" s="2">
        <f t="shared" si="18"/>
        <v>20490</v>
      </c>
    </row>
    <row r="147" spans="1:24" x14ac:dyDescent="0.3">
      <c r="A147" t="s">
        <v>105</v>
      </c>
      <c r="B147" t="s">
        <v>116</v>
      </c>
      <c r="C147" s="13"/>
      <c r="D147" s="13">
        <v>23275</v>
      </c>
      <c r="E147" s="13">
        <v>371</v>
      </c>
      <c r="F147" s="13">
        <v>7654508</v>
      </c>
      <c r="G147" s="12"/>
      <c r="H147" s="12"/>
      <c r="I147" s="12"/>
      <c r="J147" s="13"/>
      <c r="K147" t="s">
        <v>263</v>
      </c>
      <c r="L147" s="13">
        <v>7913844</v>
      </c>
      <c r="N147" t="s">
        <v>75</v>
      </c>
      <c r="O147" s="13">
        <v>33984</v>
      </c>
      <c r="P147" s="13">
        <v>21686</v>
      </c>
      <c r="Q147" s="12"/>
      <c r="R147" s="12"/>
      <c r="S147" s="9"/>
      <c r="T147" s="6"/>
      <c r="U147" s="6" t="str">
        <f t="shared" si="19"/>
        <v>W41</v>
      </c>
      <c r="V147" s="7">
        <f t="shared" si="16"/>
        <v>49</v>
      </c>
      <c r="W147" s="7">
        <f t="shared" si="17"/>
        <v>36833</v>
      </c>
      <c r="X147" s="2">
        <f t="shared" si="18"/>
        <v>33984</v>
      </c>
    </row>
    <row r="148" spans="1:24" x14ac:dyDescent="0.3">
      <c r="A148" t="s">
        <v>41</v>
      </c>
      <c r="B148" t="s">
        <v>278</v>
      </c>
      <c r="C148" s="13"/>
      <c r="D148" s="13">
        <v>35622</v>
      </c>
      <c r="E148" s="13">
        <v>146</v>
      </c>
      <c r="F148" s="13">
        <v>7921371</v>
      </c>
      <c r="G148" s="12"/>
      <c r="H148" s="12"/>
      <c r="I148" s="12"/>
      <c r="J148" s="13"/>
      <c r="K148" t="s">
        <v>51</v>
      </c>
      <c r="L148" s="13">
        <v>7253338</v>
      </c>
      <c r="N148" t="s">
        <v>156</v>
      </c>
      <c r="O148" s="13">
        <v>26777</v>
      </c>
      <c r="P148" s="13">
        <v>22201</v>
      </c>
      <c r="Q148" s="12"/>
      <c r="R148" s="12"/>
      <c r="S148" s="9"/>
      <c r="T148" s="6"/>
      <c r="U148" s="6" t="str">
        <f t="shared" si="19"/>
        <v>W30</v>
      </c>
      <c r="V148" s="7">
        <f t="shared" si="16"/>
        <v>50</v>
      </c>
      <c r="W148" s="7">
        <f t="shared" si="17"/>
        <v>28903</v>
      </c>
      <c r="X148" s="2">
        <f t="shared" si="18"/>
        <v>26777</v>
      </c>
    </row>
    <row r="149" spans="1:24" x14ac:dyDescent="0.3">
      <c r="A149" t="s">
        <v>105</v>
      </c>
      <c r="B149" t="s">
        <v>42</v>
      </c>
      <c r="C149" s="13"/>
      <c r="D149" s="13">
        <v>35018</v>
      </c>
      <c r="E149" s="13">
        <v>194</v>
      </c>
      <c r="F149" s="13">
        <v>7702347</v>
      </c>
      <c r="G149" s="12"/>
      <c r="H149" s="12"/>
      <c r="I149" s="12"/>
      <c r="J149" s="13"/>
      <c r="K149" t="s">
        <v>48</v>
      </c>
      <c r="L149" s="13">
        <v>7956865</v>
      </c>
      <c r="N149" t="s">
        <v>279</v>
      </c>
      <c r="O149" s="13">
        <v>33821</v>
      </c>
      <c r="P149" s="13">
        <v>28840</v>
      </c>
      <c r="Q149" s="12"/>
      <c r="R149" s="12"/>
      <c r="S149" s="9"/>
      <c r="T149" s="6"/>
      <c r="U149" s="6" t="str">
        <f t="shared" si="19"/>
        <v>W28</v>
      </c>
      <c r="V149" s="7">
        <f t="shared" si="16"/>
        <v>51</v>
      </c>
      <c r="W149" s="7">
        <f t="shared" si="17"/>
        <v>36358</v>
      </c>
      <c r="X149" s="2">
        <f t="shared" si="18"/>
        <v>33821</v>
      </c>
    </row>
    <row r="150" spans="1:24" x14ac:dyDescent="0.3">
      <c r="A150" t="s">
        <v>45</v>
      </c>
      <c r="B150" t="s">
        <v>242</v>
      </c>
      <c r="C150" s="13"/>
      <c r="D150" s="13">
        <v>20932</v>
      </c>
      <c r="E150" s="13">
        <v>198</v>
      </c>
      <c r="F150" s="13">
        <v>7453726</v>
      </c>
      <c r="G150" s="12"/>
      <c r="H150" s="12"/>
      <c r="I150" s="12"/>
      <c r="J150" s="13"/>
      <c r="K150" t="s">
        <v>177</v>
      </c>
      <c r="L150" s="13">
        <v>7731774</v>
      </c>
      <c r="N150" t="s">
        <v>80</v>
      </c>
      <c r="O150" s="13">
        <v>33417</v>
      </c>
      <c r="P150" s="13">
        <v>24110</v>
      </c>
      <c r="Q150" s="12"/>
      <c r="R150" s="12"/>
      <c r="S150" s="9"/>
      <c r="T150" s="6"/>
      <c r="U150" s="6" t="str">
        <f t="shared" si="19"/>
        <v>W05</v>
      </c>
      <c r="V150" s="7">
        <f t="shared" si="16"/>
        <v>52</v>
      </c>
      <c r="W150" s="7">
        <f t="shared" si="17"/>
        <v>35776</v>
      </c>
      <c r="X150" s="2">
        <f t="shared" si="18"/>
        <v>33417</v>
      </c>
    </row>
    <row r="151" spans="1:24" x14ac:dyDescent="0.3">
      <c r="A151" t="s">
        <v>109</v>
      </c>
      <c r="B151" t="s">
        <v>270</v>
      </c>
      <c r="C151" s="13"/>
      <c r="D151" s="13">
        <v>29060</v>
      </c>
      <c r="E151" s="13">
        <v>289</v>
      </c>
      <c r="F151" s="13">
        <v>7408534</v>
      </c>
      <c r="G151" s="12"/>
      <c r="H151" s="12"/>
      <c r="I151" s="12"/>
      <c r="J151" s="13"/>
      <c r="K151" t="s">
        <v>197</v>
      </c>
      <c r="L151" s="13">
        <v>7658396</v>
      </c>
      <c r="N151" t="s">
        <v>94</v>
      </c>
      <c r="O151" s="13">
        <v>36379</v>
      </c>
      <c r="P151" s="13">
        <v>21996</v>
      </c>
      <c r="Q151" s="12"/>
      <c r="R151" s="12"/>
      <c r="S151" s="9"/>
      <c r="T151" s="6"/>
      <c r="U151" s="6" t="str">
        <f t="shared" si="19"/>
        <v>W51</v>
      </c>
      <c r="V151" s="7">
        <f t="shared" si="16"/>
        <v>53</v>
      </c>
      <c r="W151" s="7">
        <f t="shared" si="17"/>
        <v>38786</v>
      </c>
      <c r="X151" s="2">
        <f t="shared" si="18"/>
        <v>36379</v>
      </c>
    </row>
    <row r="152" spans="1:24" x14ac:dyDescent="0.3">
      <c r="A152" t="s">
        <v>53</v>
      </c>
      <c r="B152" t="s">
        <v>252</v>
      </c>
      <c r="C152" s="13"/>
      <c r="D152" s="13">
        <v>29008</v>
      </c>
      <c r="E152" s="13">
        <v>183</v>
      </c>
      <c r="F152" s="13">
        <v>7731640</v>
      </c>
      <c r="G152" s="12"/>
      <c r="H152" s="12"/>
      <c r="I152" s="12"/>
      <c r="J152" s="13"/>
      <c r="K152" t="s">
        <v>48</v>
      </c>
      <c r="L152" s="13">
        <v>7368474</v>
      </c>
      <c r="N152" t="s">
        <v>279</v>
      </c>
      <c r="O152" s="13">
        <v>24646</v>
      </c>
      <c r="P152" s="13">
        <v>28476</v>
      </c>
      <c r="Q152" s="12"/>
      <c r="R152" s="12"/>
      <c r="S152" s="9"/>
      <c r="T152" s="6"/>
      <c r="U152" s="6" t="str">
        <f t="shared" si="19"/>
        <v>W28</v>
      </c>
      <c r="V152" s="7">
        <f t="shared" si="16"/>
        <v>54</v>
      </c>
      <c r="W152" s="7">
        <f t="shared" si="17"/>
        <v>26168</v>
      </c>
      <c r="X152" s="2">
        <f t="shared" si="18"/>
        <v>24646</v>
      </c>
    </row>
    <row r="153" spans="1:24" x14ac:dyDescent="0.3">
      <c r="A153" t="s">
        <v>63</v>
      </c>
      <c r="B153" t="s">
        <v>54</v>
      </c>
      <c r="C153" s="13"/>
      <c r="D153" s="13">
        <v>27709</v>
      </c>
      <c r="E153" s="13">
        <v>467</v>
      </c>
      <c r="F153" s="13">
        <v>7391429</v>
      </c>
      <c r="G153" s="12"/>
      <c r="H153" s="12"/>
      <c r="I153" s="12"/>
      <c r="J153" s="13"/>
      <c r="K153" t="s">
        <v>44</v>
      </c>
      <c r="L153" s="13">
        <v>7694648</v>
      </c>
      <c r="N153" t="s">
        <v>280</v>
      </c>
      <c r="O153" s="13">
        <v>22757</v>
      </c>
      <c r="P153" s="13">
        <v>29900</v>
      </c>
      <c r="Q153" s="12"/>
      <c r="R153" s="12"/>
      <c r="S153" s="9"/>
      <c r="T153" s="6"/>
      <c r="U153" s="6" t="str">
        <f t="shared" si="19"/>
        <v>W46</v>
      </c>
      <c r="V153" s="7">
        <f t="shared" si="16"/>
        <v>55</v>
      </c>
      <c r="W153" s="7">
        <f t="shared" si="17"/>
        <v>24062</v>
      </c>
      <c r="X153" s="2">
        <f t="shared" si="18"/>
        <v>22757</v>
      </c>
    </row>
    <row r="154" spans="1:24" x14ac:dyDescent="0.3">
      <c r="A154" t="s">
        <v>53</v>
      </c>
      <c r="B154" t="s">
        <v>116</v>
      </c>
      <c r="C154" s="13"/>
      <c r="D154" s="13">
        <v>28014</v>
      </c>
      <c r="E154" s="13">
        <v>197</v>
      </c>
      <c r="F154" s="13">
        <v>7385201</v>
      </c>
      <c r="G154" s="12"/>
      <c r="H154" s="12"/>
      <c r="I154" s="12"/>
      <c r="J154" s="13"/>
      <c r="K154" t="s">
        <v>51</v>
      </c>
      <c r="L154" s="13">
        <v>7033903</v>
      </c>
      <c r="N154" t="s">
        <v>75</v>
      </c>
      <c r="O154" s="13">
        <v>24725</v>
      </c>
      <c r="P154" s="13">
        <v>24450</v>
      </c>
      <c r="Q154" s="12"/>
      <c r="R154" s="12"/>
      <c r="S154" s="9"/>
      <c r="T154" s="6" t="s">
        <v>45</v>
      </c>
      <c r="U154" s="6" t="str">
        <f t="shared" si="19"/>
        <v>W41</v>
      </c>
      <c r="V154" s="7">
        <f t="shared" si="16"/>
        <v>56</v>
      </c>
      <c r="W154" s="7">
        <f t="shared" si="17"/>
        <v>26034</v>
      </c>
      <c r="X154" s="2">
        <f t="shared" si="18"/>
        <v>24725</v>
      </c>
    </row>
    <row r="155" spans="1:24" x14ac:dyDescent="0.3">
      <c r="A155" t="s">
        <v>59</v>
      </c>
      <c r="B155" t="s">
        <v>223</v>
      </c>
      <c r="C155" s="13"/>
      <c r="D155" s="13">
        <v>25596</v>
      </c>
      <c r="E155" s="13">
        <v>218</v>
      </c>
      <c r="F155" s="13">
        <v>7359304</v>
      </c>
      <c r="G155" s="12"/>
      <c r="H155" s="12"/>
      <c r="I155" s="12"/>
      <c r="J155" s="13"/>
      <c r="K155" t="s">
        <v>142</v>
      </c>
      <c r="L155" s="13">
        <v>7357591</v>
      </c>
      <c r="N155" t="s">
        <v>103</v>
      </c>
      <c r="O155" s="13">
        <v>27091</v>
      </c>
      <c r="P155" s="13">
        <v>24507</v>
      </c>
      <c r="Q155" s="12"/>
      <c r="R155" s="12"/>
      <c r="S155" s="9"/>
      <c r="T155" s="6"/>
      <c r="U155" s="6" t="str">
        <f t="shared" si="19"/>
        <v>W07</v>
      </c>
      <c r="V155" s="7">
        <f t="shared" si="16"/>
        <v>57</v>
      </c>
      <c r="W155" s="7">
        <f t="shared" si="17"/>
        <v>28406</v>
      </c>
      <c r="X155" s="2">
        <f t="shared" si="18"/>
        <v>27091</v>
      </c>
    </row>
    <row r="156" spans="1:24" x14ac:dyDescent="0.3">
      <c r="A156" t="s">
        <v>45</v>
      </c>
      <c r="B156" t="s">
        <v>171</v>
      </c>
      <c r="C156" s="13"/>
      <c r="D156" s="13">
        <v>36640</v>
      </c>
      <c r="E156" s="13">
        <v>151</v>
      </c>
      <c r="F156" s="13">
        <v>7445118</v>
      </c>
      <c r="G156" s="12"/>
      <c r="H156" s="12"/>
      <c r="I156" s="12"/>
      <c r="J156" s="13"/>
      <c r="K156" t="s">
        <v>77</v>
      </c>
      <c r="L156" s="13">
        <v>7939286</v>
      </c>
      <c r="N156" t="s">
        <v>237</v>
      </c>
      <c r="O156" s="13">
        <v>20952</v>
      </c>
      <c r="P156" s="13">
        <v>26945</v>
      </c>
      <c r="Q156" s="12"/>
      <c r="R156" s="12"/>
      <c r="S156" s="9"/>
      <c r="T156" s="6"/>
      <c r="U156" s="6" t="str">
        <f t="shared" si="19"/>
        <v>W16</v>
      </c>
      <c r="V156" s="7">
        <f t="shared" si="16"/>
        <v>58</v>
      </c>
      <c r="W156" s="7">
        <f t="shared" si="17"/>
        <v>21876</v>
      </c>
      <c r="X156" s="2">
        <f t="shared" si="18"/>
        <v>20952</v>
      </c>
    </row>
    <row r="157" spans="1:24" x14ac:dyDescent="0.3">
      <c r="A157" t="s">
        <v>53</v>
      </c>
      <c r="B157" t="s">
        <v>178</v>
      </c>
      <c r="C157" s="13"/>
      <c r="D157" s="13">
        <v>33637</v>
      </c>
      <c r="E157" s="13">
        <v>213</v>
      </c>
      <c r="F157" s="13">
        <v>7066587</v>
      </c>
      <c r="G157" s="12"/>
      <c r="H157" s="12"/>
      <c r="I157" s="12"/>
      <c r="J157" s="13"/>
      <c r="K157" t="s">
        <v>112</v>
      </c>
      <c r="L157" s="13">
        <v>7406884</v>
      </c>
      <c r="N157" t="s">
        <v>84</v>
      </c>
      <c r="O157" s="13">
        <v>28480</v>
      </c>
      <c r="P157" s="13">
        <v>24203</v>
      </c>
      <c r="Q157" s="12"/>
      <c r="R157" s="12"/>
      <c r="S157" s="9"/>
      <c r="T157" s="6"/>
      <c r="U157" s="6" t="str">
        <f t="shared" si="19"/>
        <v>W45</v>
      </c>
      <c r="V157" s="7">
        <f t="shared" si="16"/>
        <v>59</v>
      </c>
      <c r="W157" s="7">
        <f t="shared" si="17"/>
        <v>29611</v>
      </c>
      <c r="X157" s="2">
        <f t="shared" si="18"/>
        <v>28480</v>
      </c>
    </row>
    <row r="158" spans="1:24" x14ac:dyDescent="0.3">
      <c r="A158" t="s">
        <v>59</v>
      </c>
      <c r="B158" t="s">
        <v>281</v>
      </c>
      <c r="C158" s="13"/>
      <c r="D158" s="13">
        <v>40527</v>
      </c>
      <c r="E158" s="13">
        <v>343</v>
      </c>
      <c r="F158" s="13">
        <v>7343073</v>
      </c>
      <c r="G158" s="12"/>
      <c r="H158" s="12"/>
      <c r="I158" s="12"/>
      <c r="J158" s="13"/>
      <c r="K158" t="s">
        <v>75</v>
      </c>
      <c r="L158" s="13">
        <v>7166255</v>
      </c>
      <c r="N158" t="s">
        <v>69</v>
      </c>
      <c r="O158" s="13">
        <v>21191</v>
      </c>
      <c r="P158" s="13">
        <v>39881</v>
      </c>
      <c r="Q158" s="12"/>
      <c r="R158" s="12"/>
      <c r="S158" s="9"/>
      <c r="T158" s="6"/>
      <c r="U158" s="6" t="str">
        <f t="shared" si="19"/>
        <v>W18</v>
      </c>
      <c r="V158" s="7">
        <f t="shared" si="16"/>
        <v>60</v>
      </c>
      <c r="W158" s="7">
        <f t="shared" si="17"/>
        <v>21939</v>
      </c>
      <c r="X158" s="2">
        <f t="shared" si="18"/>
        <v>21191</v>
      </c>
    </row>
    <row r="159" spans="1:24" x14ac:dyDescent="0.3">
      <c r="A159" t="s">
        <v>78</v>
      </c>
      <c r="B159" t="s">
        <v>64</v>
      </c>
      <c r="C159" s="13"/>
      <c r="D159" s="13">
        <v>26905</v>
      </c>
      <c r="E159" s="13">
        <v>133</v>
      </c>
      <c r="F159" s="13">
        <v>7354013</v>
      </c>
      <c r="G159" s="12"/>
      <c r="H159" s="12"/>
      <c r="I159" s="12"/>
      <c r="J159" s="13"/>
      <c r="K159" t="s">
        <v>179</v>
      </c>
      <c r="L159" s="13">
        <v>7700373</v>
      </c>
      <c r="N159" t="s">
        <v>117</v>
      </c>
      <c r="O159" s="13">
        <v>30101</v>
      </c>
      <c r="P159" s="13">
        <v>33553</v>
      </c>
      <c r="Q159" s="12"/>
      <c r="R159" s="12"/>
      <c r="S159" s="9"/>
      <c r="T159" s="6"/>
      <c r="U159" s="6" t="str">
        <f t="shared" si="19"/>
        <v>W40</v>
      </c>
      <c r="V159" s="7">
        <f t="shared" si="16"/>
        <v>61</v>
      </c>
      <c r="W159" s="7">
        <f t="shared" si="17"/>
        <v>31031</v>
      </c>
      <c r="X159" s="2">
        <f t="shared" si="18"/>
        <v>30101</v>
      </c>
    </row>
    <row r="160" spans="1:24" x14ac:dyDescent="0.3">
      <c r="A160" t="s">
        <v>99</v>
      </c>
      <c r="B160" t="s">
        <v>42</v>
      </c>
      <c r="C160" s="13"/>
      <c r="D160" s="13">
        <v>27481</v>
      </c>
      <c r="E160" s="13">
        <v>406</v>
      </c>
      <c r="F160" s="13">
        <v>7163350</v>
      </c>
      <c r="G160" s="12"/>
      <c r="H160" s="12"/>
      <c r="I160" s="12"/>
      <c r="J160" s="13"/>
      <c r="K160" t="s">
        <v>248</v>
      </c>
      <c r="L160" s="13">
        <v>7245324</v>
      </c>
      <c r="N160" t="s">
        <v>136</v>
      </c>
      <c r="O160" s="13">
        <v>36798</v>
      </c>
      <c r="P160" s="13">
        <v>29083</v>
      </c>
      <c r="Q160" s="12"/>
      <c r="R160" s="12"/>
      <c r="S160" s="9"/>
      <c r="T160" s="6"/>
      <c r="U160" s="6" t="str">
        <f t="shared" si="19"/>
        <v>W50</v>
      </c>
      <c r="V160" s="7">
        <f t="shared" si="16"/>
        <v>62</v>
      </c>
      <c r="W160" s="7">
        <f t="shared" si="17"/>
        <v>37772</v>
      </c>
      <c r="X160" s="2">
        <f t="shared" si="18"/>
        <v>36798</v>
      </c>
    </row>
    <row r="161" spans="1:24" x14ac:dyDescent="0.3">
      <c r="A161" t="s">
        <v>99</v>
      </c>
      <c r="B161" t="s">
        <v>282</v>
      </c>
      <c r="C161" s="13"/>
      <c r="D161" s="13">
        <v>21915</v>
      </c>
      <c r="E161" s="13">
        <v>370</v>
      </c>
      <c r="F161" s="13">
        <v>7948400</v>
      </c>
      <c r="G161" s="12"/>
      <c r="H161" s="12"/>
      <c r="I161" s="12"/>
      <c r="J161" s="13"/>
      <c r="K161" t="s">
        <v>248</v>
      </c>
      <c r="L161" s="13">
        <v>7458292</v>
      </c>
      <c r="N161" t="s">
        <v>148</v>
      </c>
      <c r="O161" s="13">
        <v>34951</v>
      </c>
      <c r="P161" s="13">
        <v>30589</v>
      </c>
      <c r="Q161" s="12"/>
      <c r="R161" s="12"/>
      <c r="S161" s="9"/>
      <c r="T161" s="6"/>
      <c r="U161" s="6" t="str">
        <f t="shared" si="19"/>
        <v>W07</v>
      </c>
      <c r="V161" s="7">
        <f t="shared" si="16"/>
        <v>63</v>
      </c>
      <c r="W161" s="7">
        <f t="shared" si="17"/>
        <v>35722</v>
      </c>
      <c r="X161" s="2">
        <f t="shared" si="18"/>
        <v>34951</v>
      </c>
    </row>
    <row r="162" spans="1:24" x14ac:dyDescent="0.3">
      <c r="A162" t="s">
        <v>63</v>
      </c>
      <c r="B162" t="s">
        <v>183</v>
      </c>
      <c r="C162" s="13"/>
      <c r="D162" s="13">
        <v>26737</v>
      </c>
      <c r="E162" s="13">
        <v>185</v>
      </c>
      <c r="F162" s="13">
        <v>7285954</v>
      </c>
      <c r="G162" s="12"/>
      <c r="H162" s="12"/>
      <c r="I162" s="12"/>
      <c r="J162" s="13"/>
      <c r="K162" t="s">
        <v>81</v>
      </c>
      <c r="L162" s="13">
        <v>7312287</v>
      </c>
      <c r="N162" t="s">
        <v>135</v>
      </c>
      <c r="O162" s="13">
        <v>30712</v>
      </c>
      <c r="P162" s="13">
        <v>22828</v>
      </c>
      <c r="Q162" s="12"/>
      <c r="R162" s="12"/>
      <c r="S162" s="9"/>
      <c r="T162" s="6"/>
      <c r="U162" s="6" t="str">
        <f t="shared" si="19"/>
        <v>W52</v>
      </c>
      <c r="V162" s="7">
        <f t="shared" si="16"/>
        <v>64</v>
      </c>
      <c r="W162" s="7">
        <f t="shared" si="17"/>
        <v>31254</v>
      </c>
      <c r="X162" s="2">
        <f t="shared" si="18"/>
        <v>30712</v>
      </c>
    </row>
    <row r="163" spans="1:24" x14ac:dyDescent="0.3">
      <c r="A163" t="s">
        <v>63</v>
      </c>
      <c r="B163" t="s">
        <v>283</v>
      </c>
      <c r="C163" s="13"/>
      <c r="D163" s="13">
        <v>41446</v>
      </c>
      <c r="E163" s="13">
        <v>116</v>
      </c>
      <c r="F163" s="13">
        <v>7735627</v>
      </c>
      <c r="G163" s="12"/>
      <c r="H163" s="12"/>
      <c r="I163" s="12"/>
      <c r="J163" s="13"/>
      <c r="K163" t="s">
        <v>141</v>
      </c>
      <c r="L163" s="13">
        <v>7568763</v>
      </c>
      <c r="N163" t="s">
        <v>271</v>
      </c>
      <c r="O163" s="13">
        <v>40691</v>
      </c>
      <c r="P163" s="13">
        <v>35199</v>
      </c>
      <c r="Q163" s="12"/>
      <c r="R163" s="12"/>
      <c r="S163" s="9"/>
      <c r="T163" s="6"/>
      <c r="U163" s="6" t="str">
        <f t="shared" si="19"/>
        <v>W44</v>
      </c>
      <c r="V163" s="7">
        <f t="shared" si="16"/>
        <v>65</v>
      </c>
      <c r="W163" s="7">
        <f t="shared" ref="W163:W166" si="20">ROUND(O163*($V$93-((($V$93-$V$94)/$V$95)*(V163-0))),0)</f>
        <v>41230</v>
      </c>
      <c r="X163" s="2">
        <f t="shared" si="18"/>
        <v>40691</v>
      </c>
    </row>
    <row r="164" spans="1:24" x14ac:dyDescent="0.3">
      <c r="A164" t="s">
        <v>200</v>
      </c>
      <c r="B164" t="s">
        <v>284</v>
      </c>
      <c r="C164" s="13"/>
      <c r="D164" s="13">
        <v>32876</v>
      </c>
      <c r="E164" s="13">
        <v>499</v>
      </c>
      <c r="F164" s="13">
        <v>7411207</v>
      </c>
      <c r="G164" s="12"/>
      <c r="H164" s="12"/>
      <c r="I164" s="12"/>
      <c r="J164" s="13"/>
      <c r="K164" t="s">
        <v>75</v>
      </c>
      <c r="L164" s="13">
        <v>7114757</v>
      </c>
      <c r="N164" t="s">
        <v>172</v>
      </c>
      <c r="O164" s="13">
        <v>35362</v>
      </c>
      <c r="P164" s="13">
        <v>37405</v>
      </c>
      <c r="Q164" s="12"/>
      <c r="R164" s="12"/>
      <c r="S164" s="9"/>
      <c r="T164" s="6"/>
      <c r="U164" s="6" t="str">
        <f t="shared" si="19"/>
        <v>W04</v>
      </c>
      <c r="V164" s="7">
        <f t="shared" si="16"/>
        <v>66</v>
      </c>
      <c r="W164" s="7">
        <f t="shared" si="20"/>
        <v>35674</v>
      </c>
      <c r="X164" s="2">
        <f t="shared" si="18"/>
        <v>35362</v>
      </c>
    </row>
    <row r="165" spans="1:24" x14ac:dyDescent="0.3">
      <c r="A165" t="s">
        <v>49</v>
      </c>
      <c r="B165" t="s">
        <v>235</v>
      </c>
      <c r="C165" s="13"/>
      <c r="D165" s="13">
        <v>18957</v>
      </c>
      <c r="E165" s="13">
        <v>271</v>
      </c>
      <c r="F165" s="13">
        <v>7778074</v>
      </c>
      <c r="G165" s="12"/>
      <c r="H165" s="12"/>
      <c r="I165" s="12"/>
      <c r="J165" s="13"/>
      <c r="K165" t="s">
        <v>285</v>
      </c>
      <c r="L165" s="13">
        <v>7101788</v>
      </c>
      <c r="N165" t="s">
        <v>89</v>
      </c>
      <c r="O165" s="13">
        <v>30313</v>
      </c>
      <c r="P165" s="13">
        <v>20589</v>
      </c>
      <c r="Q165" s="12"/>
      <c r="R165" s="12"/>
      <c r="S165" s="9"/>
      <c r="T165" s="6"/>
      <c r="U165" s="6" t="str">
        <f t="shared" si="19"/>
        <v>W34</v>
      </c>
      <c r="V165" s="7">
        <f t="shared" si="16"/>
        <v>67</v>
      </c>
      <c r="W165" s="7">
        <f t="shared" si="20"/>
        <v>30447</v>
      </c>
      <c r="X165" s="2">
        <f t="shared" si="18"/>
        <v>30313</v>
      </c>
    </row>
    <row r="166" spans="1:24" x14ac:dyDescent="0.3">
      <c r="A166" t="s">
        <v>45</v>
      </c>
      <c r="B166" t="s">
        <v>286</v>
      </c>
      <c r="C166" s="13"/>
      <c r="D166" s="13">
        <v>27810</v>
      </c>
      <c r="E166" s="13">
        <v>282</v>
      </c>
      <c r="F166" s="13">
        <v>7430088</v>
      </c>
      <c r="G166" s="12"/>
      <c r="H166" s="12"/>
      <c r="I166" s="12"/>
      <c r="J166" s="13"/>
      <c r="K166" t="s">
        <v>176</v>
      </c>
      <c r="L166" s="13">
        <v>7480392</v>
      </c>
      <c r="N166" t="s">
        <v>146</v>
      </c>
      <c r="O166" s="13">
        <v>27739</v>
      </c>
      <c r="P166" s="13">
        <v>36430</v>
      </c>
      <c r="Q166" s="12"/>
      <c r="R166" s="12"/>
      <c r="S166" s="9"/>
      <c r="T166" s="6"/>
      <c r="U166" s="6" t="str">
        <f t="shared" si="19"/>
        <v>W08</v>
      </c>
      <c r="V166" s="7">
        <f t="shared" si="16"/>
        <v>68</v>
      </c>
      <c r="W166" s="7">
        <f t="shared" si="20"/>
        <v>27739</v>
      </c>
      <c r="X166" s="2">
        <f t="shared" si="18"/>
        <v>27739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99B33-54D6-46CA-B113-79E21301030C}">
  <dimension ref="A1:AG169"/>
  <sheetViews>
    <sheetView tabSelected="1" workbookViewId="0">
      <pane ySplit="10" topLeftCell="A11" activePane="bottomLeft" state="frozen"/>
      <selection pane="bottomLeft" activeCell="C4" sqref="C4"/>
    </sheetView>
  </sheetViews>
  <sheetFormatPr defaultRowHeight="14.4" x14ac:dyDescent="0.3"/>
  <cols>
    <col min="1" max="1" width="25.33203125" bestFit="1" customWidth="1"/>
    <col min="2" max="2" width="28.44140625" bestFit="1" customWidth="1"/>
    <col min="3" max="3" width="22.44140625" bestFit="1" customWidth="1"/>
    <col min="4" max="4" width="18.5546875" bestFit="1" customWidth="1"/>
    <col min="5" max="5" width="16.44140625" bestFit="1" customWidth="1"/>
    <col min="10" max="10" width="13.33203125" bestFit="1" customWidth="1"/>
    <col min="11" max="11" width="28.44140625" bestFit="1" customWidth="1"/>
    <col min="12" max="12" width="19.88671875" bestFit="1" customWidth="1"/>
    <col min="13" max="13" width="17.5546875" bestFit="1" customWidth="1"/>
    <col min="14" max="14" width="14.109375" bestFit="1" customWidth="1"/>
    <col min="15" max="15" width="12.44140625" bestFit="1" customWidth="1"/>
    <col min="19" max="19" width="8.109375" bestFit="1" customWidth="1"/>
    <col min="20" max="20" width="12.5546875" bestFit="1" customWidth="1"/>
    <col min="21" max="21" width="5.33203125" bestFit="1" customWidth="1"/>
    <col min="22" max="22" width="11.44140625" bestFit="1" customWidth="1"/>
    <col min="23" max="23" width="10.5546875" bestFit="1" customWidth="1"/>
    <col min="24" max="24" width="6" bestFit="1" customWidth="1"/>
    <col min="25" max="25" width="8.44140625" bestFit="1" customWidth="1"/>
    <col min="26" max="26" width="9" bestFit="1" customWidth="1"/>
    <col min="27" max="27" width="11.6640625" bestFit="1" customWidth="1"/>
    <col min="28" max="28" width="7.6640625" bestFit="1" customWidth="1"/>
    <col min="29" max="29" width="8.33203125" bestFit="1" customWidth="1"/>
    <col min="30" max="30" width="8.5546875" bestFit="1" customWidth="1"/>
    <col min="31" max="31" width="11.33203125" bestFit="1" customWidth="1"/>
    <col min="32" max="32" width="5.88671875" bestFit="1" customWidth="1"/>
  </cols>
  <sheetData>
    <row r="1" spans="1:33" x14ac:dyDescent="0.3">
      <c r="A1" s="10"/>
      <c r="B1" s="10"/>
      <c r="C1" s="10"/>
      <c r="S1" s="1"/>
      <c r="V1" s="15" t="s">
        <v>287</v>
      </c>
      <c r="W1" s="16" t="s">
        <v>288</v>
      </c>
      <c r="X1" s="17" t="s">
        <v>19</v>
      </c>
      <c r="Y1" s="18" t="s">
        <v>289</v>
      </c>
      <c r="Z1" s="19" t="s">
        <v>290</v>
      </c>
      <c r="AA1" s="18" t="s">
        <v>291</v>
      </c>
      <c r="AB1" s="20" t="s">
        <v>292</v>
      </c>
      <c r="AC1" s="18" t="s">
        <v>293</v>
      </c>
      <c r="AD1" s="19" t="s">
        <v>294</v>
      </c>
      <c r="AE1" s="18" t="s">
        <v>295</v>
      </c>
      <c r="AF1" s="20" t="s">
        <v>292</v>
      </c>
    </row>
    <row r="2" spans="1:33" x14ac:dyDescent="0.3">
      <c r="S2" s="1"/>
      <c r="T2" s="21" t="str">
        <f>B10</f>
        <v>POWEREDGE</v>
      </c>
      <c r="U2" s="22" t="s">
        <v>4</v>
      </c>
      <c r="V2" s="23">
        <f>V64</f>
        <v>6553990.0395999998</v>
      </c>
      <c r="W2" s="24">
        <f>V2</f>
        <v>6553990.0395999998</v>
      </c>
      <c r="X2" s="25" t="s">
        <v>296</v>
      </c>
      <c r="Y2" s="26">
        <f>AC2/W2/52</f>
        <v>9.1070183707435881E-4</v>
      </c>
      <c r="Z2" s="27">
        <f>AD2/W2/52</f>
        <v>9.1070183707435881E-4</v>
      </c>
      <c r="AA2" s="28">
        <f>Y2</f>
        <v>9.1070183707435881E-4</v>
      </c>
      <c r="AB2" s="29"/>
      <c r="AC2" s="23">
        <f>SUM(AB13:AB64)</f>
        <v>310374</v>
      </c>
      <c r="AD2" s="30">
        <f>AC2</f>
        <v>310374</v>
      </c>
      <c r="AE2" s="31">
        <f>AC2</f>
        <v>310374</v>
      </c>
      <c r="AF2" s="29"/>
    </row>
    <row r="3" spans="1:33" x14ac:dyDescent="0.3">
      <c r="A3" s="32" t="s">
        <v>8</v>
      </c>
      <c r="S3" s="1"/>
      <c r="T3" s="33"/>
      <c r="U3" s="34" t="s">
        <v>7</v>
      </c>
      <c r="V3" s="35">
        <f>W116</f>
        <v>7199820.5182999996</v>
      </c>
      <c r="W3" s="12">
        <f>AVERAGE(V65:W116)</f>
        <v>6729962.8321211534</v>
      </c>
      <c r="X3" s="36">
        <f>V3/V2-1</f>
        <v>9.8540045803825471E-2</v>
      </c>
      <c r="Y3" s="37">
        <f>AC3/W3/52</f>
        <v>7.7766174137028257E-4</v>
      </c>
      <c r="Z3" s="38">
        <f>AD3/W3/52</f>
        <v>7.7280687400502277E-4</v>
      </c>
      <c r="AA3" s="39" t="e">
        <f>VLOOKUP($T$2,'[1]Pass 2 Manual'!$N$76:$P$119,2,0)</f>
        <v>#N/A</v>
      </c>
      <c r="AB3" s="40" t="e">
        <f>Z3/AA3-1</f>
        <v>#N/A</v>
      </c>
      <c r="AC3" s="35">
        <f>SUM(AB65:AB116)</f>
        <v>272149</v>
      </c>
      <c r="AD3" s="13">
        <f>SUM(AB65:AB101,AC102:AC116)</f>
        <v>270450</v>
      </c>
      <c r="AE3" s="41" t="e">
        <f>VLOOKUP($T$2,'[1]Pass 2 Manual'!$N$129:$P$173,2,0)</f>
        <v>#N/A</v>
      </c>
      <c r="AF3" s="40" t="e">
        <f>AD3/AE3-1</f>
        <v>#N/A</v>
      </c>
    </row>
    <row r="4" spans="1:33" x14ac:dyDescent="0.3">
      <c r="A4" t="s">
        <v>13</v>
      </c>
      <c r="B4" t="s">
        <v>6</v>
      </c>
      <c r="J4" s="32" t="s">
        <v>297</v>
      </c>
      <c r="S4" s="1"/>
      <c r="T4" s="42"/>
      <c r="U4" s="43" t="s">
        <v>12</v>
      </c>
      <c r="V4" s="44">
        <f>W168</f>
        <v>6325754.0972999996</v>
      </c>
      <c r="W4" s="45">
        <f>AVERAGE(W117:W168)</f>
        <v>6219223.9554288452</v>
      </c>
      <c r="X4" s="46">
        <f>V4/V3-1</f>
        <v>-0.12140114031708971</v>
      </c>
      <c r="Y4" s="47">
        <f>AC4/W4/52</f>
        <v>7.6795074860402913E-4</v>
      </c>
      <c r="Z4" s="48">
        <f>AD4/W4/52</f>
        <v>7.7983697065566436E-4</v>
      </c>
      <c r="AA4" s="49" t="e">
        <f>VLOOKUP($T$2,'[1]Pass 2 Manual'!$N$76:$P$119,3,0)</f>
        <v>#N/A</v>
      </c>
      <c r="AB4" s="50" t="e">
        <f>Z4/AA4-1</f>
        <v>#N/A</v>
      </c>
      <c r="AC4" s="44">
        <f>SUM(AB117:AB168)</f>
        <v>248355</v>
      </c>
      <c r="AD4" s="51">
        <f>SUM(AC117:AC168)</f>
        <v>252199</v>
      </c>
      <c r="AE4" s="52" t="e">
        <f>VLOOKUP($T$2,'[1]Pass 2 Manual'!$N$129:$P$173,3,0)</f>
        <v>#N/A</v>
      </c>
      <c r="AF4" s="50" t="e">
        <f>AD4/AE4-1</f>
        <v>#N/A</v>
      </c>
    </row>
    <row r="5" spans="1:33" x14ac:dyDescent="0.3">
      <c r="A5" t="s">
        <v>298</v>
      </c>
      <c r="B5" t="s">
        <v>15</v>
      </c>
      <c r="J5" t="s">
        <v>5</v>
      </c>
      <c r="K5" t="s">
        <v>6</v>
      </c>
      <c r="S5" s="1"/>
      <c r="AG5" s="1"/>
    </row>
    <row r="6" spans="1:33" x14ac:dyDescent="0.3">
      <c r="A6" t="s">
        <v>299</v>
      </c>
      <c r="B6" t="s">
        <v>15</v>
      </c>
      <c r="J6" t="s">
        <v>14</v>
      </c>
      <c r="K6" t="s">
        <v>15</v>
      </c>
      <c r="S6" s="1"/>
      <c r="AG6" s="1"/>
    </row>
    <row r="7" spans="1:33" x14ac:dyDescent="0.3">
      <c r="A7" t="s">
        <v>300</v>
      </c>
      <c r="B7" t="s">
        <v>301</v>
      </c>
      <c r="J7" t="s">
        <v>302</v>
      </c>
      <c r="K7" t="s">
        <v>15</v>
      </c>
      <c r="S7" s="1"/>
      <c r="AA7" s="1"/>
      <c r="AB7" s="1"/>
      <c r="AC7" s="1"/>
      <c r="AG7" s="1"/>
    </row>
    <row r="8" spans="1:33" x14ac:dyDescent="0.3">
      <c r="A8" t="s">
        <v>303</v>
      </c>
      <c r="J8" t="s">
        <v>304</v>
      </c>
      <c r="K8" t="s">
        <v>305</v>
      </c>
      <c r="S8" s="1"/>
      <c r="V8" s="13"/>
      <c r="Y8" s="53"/>
      <c r="AA8" s="53"/>
      <c r="AB8" s="53"/>
      <c r="AC8" s="54"/>
      <c r="AD8" s="12"/>
      <c r="AE8" s="12"/>
      <c r="AF8" s="54"/>
      <c r="AG8" s="1"/>
    </row>
    <row r="9" spans="1:33" x14ac:dyDescent="0.3">
      <c r="A9" t="s">
        <v>306</v>
      </c>
      <c r="B9" t="s">
        <v>21</v>
      </c>
      <c r="J9" t="s">
        <v>307</v>
      </c>
      <c r="K9" t="s">
        <v>21</v>
      </c>
      <c r="S9" s="1"/>
      <c r="U9" s="54"/>
      <c r="V9" s="54"/>
      <c r="W9" s="55"/>
      <c r="X9" s="55"/>
      <c r="Y9" s="54"/>
      <c r="Z9" s="54"/>
      <c r="AA9" s="54"/>
      <c r="AB9" s="54"/>
      <c r="AC9" s="54"/>
      <c r="AD9" s="54"/>
      <c r="AF9" s="1"/>
    </row>
    <row r="10" spans="1:33" x14ac:dyDescent="0.3">
      <c r="A10" t="s">
        <v>16</v>
      </c>
      <c r="B10" t="s">
        <v>17</v>
      </c>
      <c r="J10" t="s">
        <v>10</v>
      </c>
      <c r="K10" t="s">
        <v>11</v>
      </c>
      <c r="S10" s="1"/>
      <c r="AF10" s="1"/>
    </row>
    <row r="11" spans="1:33" x14ac:dyDescent="0.3">
      <c r="S11" s="1"/>
      <c r="AF11" s="1"/>
    </row>
    <row r="12" spans="1:33" x14ac:dyDescent="0.3">
      <c r="A12" t="s">
        <v>3</v>
      </c>
      <c r="B12" t="s">
        <v>26</v>
      </c>
      <c r="C12" t="s">
        <v>27</v>
      </c>
      <c r="D12" t="s">
        <v>308</v>
      </c>
      <c r="E12" t="s">
        <v>309</v>
      </c>
      <c r="J12" t="s">
        <v>3</v>
      </c>
      <c r="K12" t="s">
        <v>26</v>
      </c>
      <c r="L12" t="s">
        <v>310</v>
      </c>
      <c r="M12" t="s">
        <v>311</v>
      </c>
      <c r="N12" t="s">
        <v>312</v>
      </c>
      <c r="O12" t="s">
        <v>313</v>
      </c>
      <c r="S12" s="1" t="s">
        <v>314</v>
      </c>
      <c r="T12" t="s">
        <v>315</v>
      </c>
      <c r="U12" s="1" t="s">
        <v>38</v>
      </c>
      <c r="V12" s="1" t="s">
        <v>316</v>
      </c>
      <c r="W12" s="1" t="s">
        <v>317</v>
      </c>
      <c r="X12" s="1"/>
      <c r="Y12" s="1" t="s">
        <v>289</v>
      </c>
      <c r="Z12" s="1" t="s">
        <v>290</v>
      </c>
      <c r="AB12" s="1" t="s">
        <v>293</v>
      </c>
      <c r="AC12" s="1" t="s">
        <v>294</v>
      </c>
      <c r="AD12" s="1"/>
      <c r="AE12" s="1"/>
    </row>
    <row r="13" spans="1:33" x14ac:dyDescent="0.3">
      <c r="A13" t="s">
        <v>318</v>
      </c>
      <c r="B13" t="s">
        <v>319</v>
      </c>
      <c r="C13" s="13">
        <v>7507692</v>
      </c>
      <c r="D13" s="13">
        <v>6555</v>
      </c>
      <c r="E13" s="56">
        <v>8.7310454398000002E-4</v>
      </c>
      <c r="I13" s="13"/>
      <c r="J13" t="s">
        <v>320</v>
      </c>
      <c r="K13" t="s">
        <v>321</v>
      </c>
      <c r="L13" s="6">
        <v>7312961.8015999999</v>
      </c>
      <c r="M13">
        <v>6385</v>
      </c>
      <c r="N13" s="13">
        <v>6703</v>
      </c>
      <c r="O13" s="56">
        <v>8.7310725438300004E-4</v>
      </c>
      <c r="S13" s="1"/>
      <c r="T13" t="str">
        <f t="shared" ref="T13:T76" si="0">IF(J13=0,"",J13)</f>
        <v>FY2025</v>
      </c>
      <c r="U13" s="1" t="str">
        <f t="shared" ref="U13:U76" si="1">RIGHT(K13,3)</f>
        <v>W01</v>
      </c>
      <c r="V13" s="12">
        <f t="shared" ref="V13:V76" si="2">L13</f>
        <v>7312961.8015999999</v>
      </c>
      <c r="W13" s="12"/>
      <c r="X13" s="38"/>
      <c r="Y13" s="38">
        <f t="shared" ref="Y13:Y76" si="3">O13</f>
        <v>8.7310725438300004E-4</v>
      </c>
      <c r="Z13" s="12"/>
      <c r="AB13" s="12">
        <f t="shared" ref="AB13:AB76" si="4">N13</f>
        <v>6703</v>
      </c>
      <c r="AC13" s="12"/>
      <c r="AD13" s="12"/>
      <c r="AE13" s="1"/>
    </row>
    <row r="14" spans="1:33" x14ac:dyDescent="0.3">
      <c r="B14" t="s">
        <v>155</v>
      </c>
      <c r="C14" s="13">
        <v>7513292</v>
      </c>
      <c r="D14" s="13">
        <v>6450</v>
      </c>
      <c r="E14" s="56">
        <v>8.5847854708700003E-4</v>
      </c>
      <c r="I14" s="13"/>
      <c r="K14" t="s">
        <v>77</v>
      </c>
      <c r="L14" s="6">
        <v>7628646.8481999999</v>
      </c>
      <c r="M14">
        <v>6549</v>
      </c>
      <c r="N14" s="13">
        <v>6361</v>
      </c>
      <c r="O14" s="56">
        <v>8.5847465878499999E-4</v>
      </c>
      <c r="S14" s="1"/>
      <c r="T14" t="str">
        <f t="shared" si="0"/>
        <v/>
      </c>
      <c r="U14" s="1" t="str">
        <f t="shared" si="1"/>
        <v>W02</v>
      </c>
      <c r="V14" s="12">
        <f t="shared" si="2"/>
        <v>7628646.8481999999</v>
      </c>
      <c r="W14" s="12"/>
      <c r="X14" s="38"/>
      <c r="Y14" s="38">
        <f t="shared" si="3"/>
        <v>8.5847465878499999E-4</v>
      </c>
      <c r="Z14" s="12"/>
      <c r="AB14" s="12">
        <f t="shared" si="4"/>
        <v>6361</v>
      </c>
      <c r="AC14" s="12"/>
      <c r="AD14" s="12"/>
      <c r="AE14" s="1"/>
    </row>
    <row r="15" spans="1:33" x14ac:dyDescent="0.3">
      <c r="B15" t="s">
        <v>178</v>
      </c>
      <c r="C15" s="13">
        <v>7504868</v>
      </c>
      <c r="D15" s="13">
        <v>5993</v>
      </c>
      <c r="E15" s="56">
        <v>7.9854835554699999E-4</v>
      </c>
      <c r="I15" s="13"/>
      <c r="K15" t="s">
        <v>66</v>
      </c>
      <c r="L15" s="6">
        <v>6816075.2626</v>
      </c>
      <c r="M15">
        <v>5443</v>
      </c>
      <c r="N15" s="13">
        <v>5315</v>
      </c>
      <c r="O15" s="56">
        <v>7.9855338890800001E-4</v>
      </c>
      <c r="S15" s="1"/>
      <c r="T15" t="str">
        <f t="shared" si="0"/>
        <v/>
      </c>
      <c r="U15" s="1" t="str">
        <f t="shared" si="1"/>
        <v>W03</v>
      </c>
      <c r="V15" s="12">
        <f t="shared" si="2"/>
        <v>6816075.2626</v>
      </c>
      <c r="W15" s="12"/>
      <c r="X15" s="38"/>
      <c r="Y15" s="38">
        <f t="shared" si="3"/>
        <v>7.9855338890800001E-4</v>
      </c>
      <c r="Z15" s="12"/>
      <c r="AB15" s="12">
        <f t="shared" si="4"/>
        <v>5315</v>
      </c>
      <c r="AC15" s="12"/>
      <c r="AD15" s="12"/>
      <c r="AE15" s="1"/>
    </row>
    <row r="16" spans="1:33" x14ac:dyDescent="0.3">
      <c r="B16" t="s">
        <v>322</v>
      </c>
      <c r="C16" s="13">
        <v>7670592</v>
      </c>
      <c r="D16" s="13">
        <v>8304</v>
      </c>
      <c r="E16" s="56">
        <v>1.0825761557909999E-3</v>
      </c>
      <c r="I16" s="13"/>
      <c r="K16" t="s">
        <v>58</v>
      </c>
      <c r="L16" s="6">
        <v>7265451.8945000004</v>
      </c>
      <c r="M16">
        <v>7866</v>
      </c>
      <c r="N16" s="13">
        <v>8164</v>
      </c>
      <c r="O16" s="56">
        <v>1.082658052688E-3</v>
      </c>
      <c r="S16" s="1"/>
      <c r="T16" t="str">
        <f t="shared" si="0"/>
        <v/>
      </c>
      <c r="U16" s="1" t="str">
        <f t="shared" si="1"/>
        <v>W04</v>
      </c>
      <c r="V16" s="12">
        <f t="shared" si="2"/>
        <v>7265451.8945000004</v>
      </c>
      <c r="W16" s="12"/>
      <c r="X16" s="38"/>
      <c r="Y16" s="38">
        <f t="shared" si="3"/>
        <v>1.082658052688E-3</v>
      </c>
      <c r="Z16" s="12"/>
      <c r="AB16" s="12">
        <f t="shared" si="4"/>
        <v>8164</v>
      </c>
      <c r="AC16" s="12"/>
      <c r="AD16" s="12"/>
      <c r="AE16" s="1"/>
    </row>
    <row r="17" spans="2:31" x14ac:dyDescent="0.3">
      <c r="B17" t="s">
        <v>50</v>
      </c>
      <c r="C17" s="13">
        <v>7456723</v>
      </c>
      <c r="D17" s="13">
        <v>5026</v>
      </c>
      <c r="E17" s="56">
        <v>6.74022623611E-4</v>
      </c>
      <c r="I17" s="13"/>
      <c r="K17" t="s">
        <v>108</v>
      </c>
      <c r="L17" s="6">
        <v>7399473.3300999999</v>
      </c>
      <c r="M17">
        <v>4987</v>
      </c>
      <c r="N17" s="13">
        <v>4922</v>
      </c>
      <c r="O17" s="56">
        <v>6.7396688622600005E-4</v>
      </c>
      <c r="S17" s="1"/>
      <c r="T17" t="str">
        <f t="shared" si="0"/>
        <v/>
      </c>
      <c r="U17" s="1" t="str">
        <f t="shared" si="1"/>
        <v>W05</v>
      </c>
      <c r="V17" s="12">
        <f t="shared" si="2"/>
        <v>7399473.3300999999</v>
      </c>
      <c r="W17" s="12"/>
      <c r="X17" s="38"/>
      <c r="Y17" s="38">
        <f t="shared" si="3"/>
        <v>6.7396688622600005E-4</v>
      </c>
      <c r="Z17" s="12"/>
      <c r="AB17" s="12">
        <f t="shared" si="4"/>
        <v>4922</v>
      </c>
      <c r="AC17" s="12"/>
      <c r="AE17" s="1"/>
    </row>
    <row r="18" spans="2:31" x14ac:dyDescent="0.3">
      <c r="B18" t="s">
        <v>323</v>
      </c>
      <c r="C18" s="13">
        <v>7623013</v>
      </c>
      <c r="D18" s="13">
        <v>7285</v>
      </c>
      <c r="E18" s="56">
        <v>9.5565887136799996E-4</v>
      </c>
      <c r="I18" s="13"/>
      <c r="K18" t="s">
        <v>207</v>
      </c>
      <c r="L18" s="6">
        <v>7782381.2619000003</v>
      </c>
      <c r="M18">
        <v>7437</v>
      </c>
      <c r="N18" s="13">
        <v>7588</v>
      </c>
      <c r="O18" s="56">
        <v>9.5562010517399995E-4</v>
      </c>
      <c r="S18" s="1"/>
      <c r="T18" t="str">
        <f t="shared" si="0"/>
        <v/>
      </c>
      <c r="U18" s="1" t="str">
        <f t="shared" si="1"/>
        <v>W06</v>
      </c>
      <c r="V18" s="12">
        <f t="shared" si="2"/>
        <v>7782381.2619000003</v>
      </c>
      <c r="W18" s="12"/>
      <c r="X18" s="38"/>
      <c r="Y18" s="38">
        <f t="shared" si="3"/>
        <v>9.5562010517399995E-4</v>
      </c>
      <c r="Z18" s="12"/>
      <c r="AB18" s="12">
        <f t="shared" si="4"/>
        <v>7588</v>
      </c>
      <c r="AC18" s="12"/>
      <c r="AE18" s="1"/>
    </row>
    <row r="19" spans="2:31" x14ac:dyDescent="0.3">
      <c r="B19" t="s">
        <v>324</v>
      </c>
      <c r="C19" s="13">
        <v>7777756</v>
      </c>
      <c r="D19" s="13">
        <v>8071</v>
      </c>
      <c r="E19" s="56">
        <v>1.0377029055680001E-3</v>
      </c>
      <c r="I19" s="13"/>
      <c r="K19" t="s">
        <v>148</v>
      </c>
      <c r="L19" s="6">
        <v>7391232.8062000005</v>
      </c>
      <c r="M19">
        <v>7670</v>
      </c>
      <c r="N19" s="13">
        <v>7756</v>
      </c>
      <c r="O19" s="56">
        <v>1.037715926573E-3</v>
      </c>
      <c r="S19" s="1"/>
      <c r="T19" t="str">
        <f t="shared" si="0"/>
        <v/>
      </c>
      <c r="U19" s="1" t="str">
        <f t="shared" si="1"/>
        <v>W07</v>
      </c>
      <c r="V19" s="12">
        <f t="shared" si="2"/>
        <v>7391232.8062000005</v>
      </c>
      <c r="W19" s="12"/>
      <c r="X19" s="38"/>
      <c r="Y19" s="38">
        <f t="shared" si="3"/>
        <v>1.037715926573E-3</v>
      </c>
      <c r="Z19" s="12"/>
      <c r="AB19" s="12">
        <f t="shared" si="4"/>
        <v>7756</v>
      </c>
      <c r="AC19" s="12"/>
      <c r="AE19" s="1"/>
    </row>
    <row r="20" spans="2:31" x14ac:dyDescent="0.3">
      <c r="B20" t="s">
        <v>191</v>
      </c>
      <c r="C20" s="13">
        <v>7243560</v>
      </c>
      <c r="D20" s="13">
        <v>7373</v>
      </c>
      <c r="E20" s="56">
        <v>1.017869666297E-3</v>
      </c>
      <c r="I20" s="13"/>
      <c r="K20" t="s">
        <v>227</v>
      </c>
      <c r="L20" s="6">
        <v>6969594.3391000004</v>
      </c>
      <c r="M20">
        <v>7094</v>
      </c>
      <c r="N20" s="13">
        <v>6745</v>
      </c>
      <c r="O20" s="56">
        <v>1.0178497707109999E-3</v>
      </c>
      <c r="S20" s="1"/>
      <c r="T20" t="str">
        <f t="shared" si="0"/>
        <v/>
      </c>
      <c r="U20" s="1" t="str">
        <f t="shared" si="1"/>
        <v>W08</v>
      </c>
      <c r="V20" s="12">
        <f t="shared" si="2"/>
        <v>6969594.3391000004</v>
      </c>
      <c r="W20" s="12"/>
      <c r="X20" s="38"/>
      <c r="Y20" s="38">
        <f t="shared" si="3"/>
        <v>1.0178497707109999E-3</v>
      </c>
      <c r="Z20" s="12"/>
      <c r="AB20" s="12">
        <f t="shared" si="4"/>
        <v>6745</v>
      </c>
      <c r="AC20" s="12"/>
      <c r="AE20" s="1"/>
    </row>
    <row r="21" spans="2:31" x14ac:dyDescent="0.3">
      <c r="B21" t="s">
        <v>268</v>
      </c>
      <c r="C21" s="13">
        <v>7599091</v>
      </c>
      <c r="D21" s="13">
        <v>5946</v>
      </c>
      <c r="E21" s="56">
        <v>7.8246200762699999E-4</v>
      </c>
      <c r="I21" s="13"/>
      <c r="K21" t="s">
        <v>259</v>
      </c>
      <c r="L21" s="6">
        <v>7810876.6123000002</v>
      </c>
      <c r="M21">
        <v>6112</v>
      </c>
      <c r="N21" s="13">
        <v>6306</v>
      </c>
      <c r="O21" s="56">
        <v>7.8249859822100004E-4</v>
      </c>
      <c r="S21" s="1"/>
      <c r="T21" t="str">
        <f t="shared" si="0"/>
        <v/>
      </c>
      <c r="U21" s="1" t="str">
        <f t="shared" si="1"/>
        <v>W09</v>
      </c>
      <c r="V21" s="12">
        <f t="shared" si="2"/>
        <v>7810876.6123000002</v>
      </c>
      <c r="W21" s="12"/>
      <c r="X21" s="38"/>
      <c r="Y21" s="38">
        <f t="shared" si="3"/>
        <v>7.8249859822100004E-4</v>
      </c>
      <c r="Z21" s="12"/>
      <c r="AB21" s="12">
        <f t="shared" si="4"/>
        <v>6306</v>
      </c>
      <c r="AC21" s="12"/>
      <c r="AE21" s="1"/>
    </row>
    <row r="22" spans="2:31" x14ac:dyDescent="0.3">
      <c r="B22" t="s">
        <v>203</v>
      </c>
      <c r="C22" s="13">
        <v>7503633</v>
      </c>
      <c r="D22" s="13">
        <v>5496</v>
      </c>
      <c r="E22" s="56">
        <v>7.3244520354300003E-4</v>
      </c>
      <c r="I22" s="13"/>
      <c r="K22" t="s">
        <v>325</v>
      </c>
      <c r="L22" s="6">
        <v>7265801.3663999997</v>
      </c>
      <c r="M22">
        <v>5322</v>
      </c>
      <c r="N22" s="13">
        <v>5556</v>
      </c>
      <c r="O22" s="56">
        <v>7.3247254248000001E-4</v>
      </c>
      <c r="S22" s="1"/>
      <c r="T22" t="str">
        <f t="shared" si="0"/>
        <v/>
      </c>
      <c r="U22" s="1" t="str">
        <f t="shared" si="1"/>
        <v>W10</v>
      </c>
      <c r="V22" s="12">
        <f t="shared" si="2"/>
        <v>7265801.3663999997</v>
      </c>
      <c r="W22" s="12"/>
      <c r="X22" s="38"/>
      <c r="Y22" s="38">
        <f t="shared" si="3"/>
        <v>7.3247254248000001E-4</v>
      </c>
      <c r="Z22" s="12"/>
      <c r="AB22" s="12">
        <f t="shared" si="4"/>
        <v>5556</v>
      </c>
      <c r="AC22" s="12"/>
      <c r="AE22" s="1"/>
    </row>
    <row r="23" spans="2:31" x14ac:dyDescent="0.3">
      <c r="B23" t="s">
        <v>132</v>
      </c>
      <c r="C23" s="13">
        <v>7683158</v>
      </c>
      <c r="D23" s="13">
        <v>7766</v>
      </c>
      <c r="E23" s="56">
        <v>1.010782285097E-3</v>
      </c>
      <c r="I23" s="13"/>
      <c r="K23" t="s">
        <v>326</v>
      </c>
      <c r="L23" s="6">
        <v>6771332.8710000003</v>
      </c>
      <c r="M23">
        <v>6844</v>
      </c>
      <c r="N23" s="13">
        <v>6594</v>
      </c>
      <c r="O23" s="56">
        <v>1.0107315842219999E-3</v>
      </c>
      <c r="S23" s="1"/>
      <c r="T23" t="str">
        <f t="shared" si="0"/>
        <v/>
      </c>
      <c r="U23" s="1" t="str">
        <f t="shared" si="1"/>
        <v>W11</v>
      </c>
      <c r="V23" s="12">
        <f t="shared" si="2"/>
        <v>6771332.8710000003</v>
      </c>
      <c r="W23" s="12"/>
      <c r="X23" s="38"/>
      <c r="Y23" s="38">
        <f t="shared" si="3"/>
        <v>1.0107315842219999E-3</v>
      </c>
      <c r="Z23" s="12"/>
      <c r="AB23" s="12">
        <f t="shared" si="4"/>
        <v>6594</v>
      </c>
      <c r="AC23" s="12"/>
      <c r="AE23" s="1"/>
    </row>
    <row r="24" spans="2:31" x14ac:dyDescent="0.3">
      <c r="B24" t="s">
        <v>70</v>
      </c>
      <c r="C24" s="13">
        <v>7359577</v>
      </c>
      <c r="D24" s="13">
        <v>6281</v>
      </c>
      <c r="E24" s="56">
        <v>8.53445789072E-4</v>
      </c>
      <c r="I24" s="13"/>
      <c r="K24" t="s">
        <v>130</v>
      </c>
      <c r="L24" s="6">
        <v>7474067.7148000002</v>
      </c>
      <c r="M24">
        <v>6378</v>
      </c>
      <c r="N24" s="13">
        <v>6412</v>
      </c>
      <c r="O24" s="56">
        <v>8.5335057740700004E-4</v>
      </c>
      <c r="S24" s="1"/>
      <c r="T24" t="str">
        <f t="shared" si="0"/>
        <v/>
      </c>
      <c r="U24" s="1" t="str">
        <f t="shared" si="1"/>
        <v>W12</v>
      </c>
      <c r="V24" s="12">
        <f t="shared" si="2"/>
        <v>7474067.7148000002</v>
      </c>
      <c r="W24" s="12"/>
      <c r="X24" s="38"/>
      <c r="Y24" s="38">
        <f t="shared" si="3"/>
        <v>8.5335057740700004E-4</v>
      </c>
      <c r="Z24" s="12"/>
      <c r="AB24" s="12">
        <f t="shared" si="4"/>
        <v>6412</v>
      </c>
      <c r="AC24" s="12"/>
      <c r="AE24" s="1"/>
    </row>
    <row r="25" spans="2:31" x14ac:dyDescent="0.3">
      <c r="B25" t="s">
        <v>327</v>
      </c>
      <c r="C25" s="13">
        <v>7794832</v>
      </c>
      <c r="D25" s="13">
        <v>6605</v>
      </c>
      <c r="E25" s="56">
        <v>8.4735629966099996E-4</v>
      </c>
      <c r="I25" s="13"/>
      <c r="K25" t="s">
        <v>194</v>
      </c>
      <c r="L25" s="6">
        <v>7203024.5488</v>
      </c>
      <c r="M25">
        <v>6103</v>
      </c>
      <c r="N25" s="13">
        <v>5964</v>
      </c>
      <c r="O25" s="56">
        <v>8.4728296546200004E-4</v>
      </c>
      <c r="S25" s="1"/>
      <c r="T25" t="str">
        <f t="shared" si="0"/>
        <v/>
      </c>
      <c r="U25" s="1" t="str">
        <f t="shared" si="1"/>
        <v>W13</v>
      </c>
      <c r="V25" s="12">
        <f t="shared" si="2"/>
        <v>7203024.5488</v>
      </c>
      <c r="W25" s="12"/>
      <c r="X25" s="38"/>
      <c r="Y25" s="38">
        <f t="shared" si="3"/>
        <v>8.4728296546200004E-4</v>
      </c>
      <c r="Z25" s="12"/>
      <c r="AB25" s="12">
        <f t="shared" si="4"/>
        <v>5964</v>
      </c>
      <c r="AC25" s="12"/>
      <c r="AE25" s="1"/>
    </row>
    <row r="26" spans="2:31" x14ac:dyDescent="0.3">
      <c r="B26" t="s">
        <v>256</v>
      </c>
      <c r="C26" s="13">
        <v>7599624</v>
      </c>
      <c r="D26" s="13">
        <v>4646</v>
      </c>
      <c r="E26" s="56">
        <v>6.1134603501399997E-4</v>
      </c>
      <c r="I26" s="13"/>
      <c r="K26" t="s">
        <v>197</v>
      </c>
      <c r="L26" s="6">
        <v>7370839.7062999997</v>
      </c>
      <c r="M26">
        <v>4506</v>
      </c>
      <c r="N26" s="13">
        <v>4372</v>
      </c>
      <c r="O26" s="56">
        <v>6.1132790557800001E-4</v>
      </c>
      <c r="S26" s="1"/>
      <c r="T26" t="str">
        <f t="shared" si="0"/>
        <v/>
      </c>
      <c r="U26" s="1" t="str">
        <f t="shared" si="1"/>
        <v>W14</v>
      </c>
      <c r="V26" s="12">
        <f t="shared" si="2"/>
        <v>7370839.7062999997</v>
      </c>
      <c r="W26" s="12"/>
      <c r="X26" s="38"/>
      <c r="Y26" s="38">
        <f t="shared" si="3"/>
        <v>6.1132790557800001E-4</v>
      </c>
      <c r="Z26" s="12"/>
      <c r="AB26" s="12">
        <f t="shared" si="4"/>
        <v>4372</v>
      </c>
      <c r="AC26" s="12"/>
      <c r="AE26" s="1"/>
    </row>
    <row r="27" spans="2:31" x14ac:dyDescent="0.3">
      <c r="B27" t="s">
        <v>231</v>
      </c>
      <c r="C27" s="13">
        <v>7746013</v>
      </c>
      <c r="D27" s="13">
        <v>5066</v>
      </c>
      <c r="E27" s="56">
        <v>6.5401387784900004E-4</v>
      </c>
      <c r="I27" s="13"/>
      <c r="K27" t="s">
        <v>81</v>
      </c>
      <c r="L27" s="6">
        <v>6870525.3163000001</v>
      </c>
      <c r="M27">
        <v>4493</v>
      </c>
      <c r="N27" s="13">
        <v>4553</v>
      </c>
      <c r="O27" s="56">
        <v>6.53952906533E-4</v>
      </c>
      <c r="S27" s="1"/>
      <c r="T27" t="str">
        <f t="shared" si="0"/>
        <v/>
      </c>
      <c r="U27" s="1" t="str">
        <f t="shared" si="1"/>
        <v>W15</v>
      </c>
      <c r="V27" s="12">
        <f t="shared" si="2"/>
        <v>6870525.3163000001</v>
      </c>
      <c r="W27" s="12"/>
      <c r="X27" s="38"/>
      <c r="Y27" s="38">
        <f t="shared" si="3"/>
        <v>6.53952906533E-4</v>
      </c>
      <c r="Z27" s="12"/>
      <c r="AB27" s="12">
        <f t="shared" si="4"/>
        <v>4553</v>
      </c>
      <c r="AC27" s="12"/>
      <c r="AE27" s="1"/>
    </row>
    <row r="28" spans="2:31" x14ac:dyDescent="0.3">
      <c r="B28" t="s">
        <v>328</v>
      </c>
      <c r="C28" s="13">
        <v>7653607</v>
      </c>
      <c r="D28" s="13">
        <v>6006</v>
      </c>
      <c r="E28" s="56">
        <v>7.84728037382E-4</v>
      </c>
      <c r="I28" s="13"/>
      <c r="K28" t="s">
        <v>262</v>
      </c>
      <c r="L28" s="6">
        <v>6714563.0219999999</v>
      </c>
      <c r="M28">
        <v>5269</v>
      </c>
      <c r="N28" s="13">
        <v>5483</v>
      </c>
      <c r="O28" s="56">
        <v>7.8471227133300003E-4</v>
      </c>
      <c r="S28" s="1"/>
      <c r="T28" t="str">
        <f t="shared" si="0"/>
        <v/>
      </c>
      <c r="U28" s="1" t="str">
        <f t="shared" si="1"/>
        <v>W16</v>
      </c>
      <c r="V28" s="12">
        <f t="shared" si="2"/>
        <v>6714563.0219999999</v>
      </c>
      <c r="W28" s="12"/>
      <c r="X28" s="38"/>
      <c r="Y28" s="38">
        <f t="shared" si="3"/>
        <v>7.8471227133300003E-4</v>
      </c>
      <c r="Z28" s="12"/>
      <c r="AB28" s="12">
        <f t="shared" si="4"/>
        <v>5483</v>
      </c>
      <c r="AC28" s="12"/>
      <c r="AE28" s="1"/>
    </row>
    <row r="29" spans="2:31" x14ac:dyDescent="0.3">
      <c r="B29" t="s">
        <v>221</v>
      </c>
      <c r="C29" s="13">
        <v>6453101</v>
      </c>
      <c r="D29" s="13">
        <v>6279</v>
      </c>
      <c r="E29" s="56">
        <v>9.7302056794100001E-4</v>
      </c>
      <c r="I29" s="13"/>
      <c r="K29" t="s">
        <v>154</v>
      </c>
      <c r="L29" s="6">
        <v>7034851.3617000002</v>
      </c>
      <c r="M29">
        <v>6845</v>
      </c>
      <c r="N29" s="13">
        <v>7082</v>
      </c>
      <c r="O29" s="56">
        <v>9.7301274015100005E-4</v>
      </c>
      <c r="S29" s="1"/>
      <c r="T29" t="str">
        <f t="shared" si="0"/>
        <v/>
      </c>
      <c r="U29" s="1" t="str">
        <f t="shared" si="1"/>
        <v>W17</v>
      </c>
      <c r="V29" s="12">
        <f t="shared" si="2"/>
        <v>7034851.3617000002</v>
      </c>
      <c r="W29" s="12"/>
      <c r="X29" s="38"/>
      <c r="Y29" s="38">
        <f t="shared" si="3"/>
        <v>9.7301274015100005E-4</v>
      </c>
      <c r="Z29" s="12"/>
      <c r="AB29" s="12">
        <f t="shared" si="4"/>
        <v>7082</v>
      </c>
      <c r="AC29" s="12"/>
      <c r="AE29" s="1"/>
    </row>
    <row r="30" spans="2:31" x14ac:dyDescent="0.3">
      <c r="B30" t="s">
        <v>329</v>
      </c>
      <c r="C30" s="13">
        <v>7075545</v>
      </c>
      <c r="D30" s="13">
        <v>6592</v>
      </c>
      <c r="E30" s="56">
        <v>9.3165968133900002E-4</v>
      </c>
      <c r="I30" s="13"/>
      <c r="K30" t="s">
        <v>165</v>
      </c>
      <c r="L30" s="6">
        <v>7557711.4023000002</v>
      </c>
      <c r="M30">
        <v>7042</v>
      </c>
      <c r="N30" s="13">
        <v>6885</v>
      </c>
      <c r="O30" s="56">
        <v>9.3176354919499997E-4</v>
      </c>
      <c r="S30" s="1"/>
      <c r="T30" t="str">
        <f t="shared" si="0"/>
        <v/>
      </c>
      <c r="U30" s="1" t="str">
        <f t="shared" si="1"/>
        <v>W18</v>
      </c>
      <c r="V30" s="12">
        <f t="shared" si="2"/>
        <v>7557711.4023000002</v>
      </c>
      <c r="W30" s="12"/>
      <c r="X30" s="38"/>
      <c r="Y30" s="38">
        <f t="shared" si="3"/>
        <v>9.3176354919499997E-4</v>
      </c>
      <c r="Z30" s="12"/>
      <c r="AB30" s="12">
        <f t="shared" si="4"/>
        <v>6885</v>
      </c>
      <c r="AC30" s="12"/>
      <c r="AE30" s="1"/>
    </row>
    <row r="31" spans="2:31" x14ac:dyDescent="0.3">
      <c r="B31" t="s">
        <v>140</v>
      </c>
      <c r="C31" s="13">
        <v>7655680</v>
      </c>
      <c r="D31" s="13">
        <v>6785</v>
      </c>
      <c r="E31" s="56">
        <v>8.8627006353500005E-4</v>
      </c>
      <c r="I31" s="13"/>
      <c r="K31" t="s">
        <v>330</v>
      </c>
      <c r="L31" s="6">
        <v>6795424.2490999997</v>
      </c>
      <c r="M31">
        <v>6023</v>
      </c>
      <c r="N31" s="13">
        <v>5724</v>
      </c>
      <c r="O31" s="56">
        <v>8.8633171075300004E-4</v>
      </c>
      <c r="S31" s="1"/>
      <c r="T31" t="str">
        <f t="shared" si="0"/>
        <v/>
      </c>
      <c r="U31" s="1" t="str">
        <f t="shared" si="1"/>
        <v>W19</v>
      </c>
      <c r="V31" s="12">
        <f t="shared" si="2"/>
        <v>6795424.2490999997</v>
      </c>
      <c r="W31" s="12"/>
      <c r="X31" s="38"/>
      <c r="Y31" s="38">
        <f t="shared" si="3"/>
        <v>8.8633171075300004E-4</v>
      </c>
      <c r="Z31" s="12"/>
      <c r="AB31" s="12">
        <f t="shared" si="4"/>
        <v>5724</v>
      </c>
      <c r="AC31" s="12"/>
      <c r="AE31" s="1"/>
    </row>
    <row r="32" spans="2:31" x14ac:dyDescent="0.3">
      <c r="B32" t="s">
        <v>331</v>
      </c>
      <c r="C32" s="13">
        <v>7715082</v>
      </c>
      <c r="D32" s="13">
        <v>6390</v>
      </c>
      <c r="E32" s="56">
        <v>8.2824783975100002E-4</v>
      </c>
      <c r="I32" s="13"/>
      <c r="K32" t="s">
        <v>127</v>
      </c>
      <c r="L32" s="6">
        <v>6868627.9254999999</v>
      </c>
      <c r="M32">
        <v>5689</v>
      </c>
      <c r="N32" s="13">
        <v>5554</v>
      </c>
      <c r="O32" s="56">
        <v>8.2825857823500004E-4</v>
      </c>
      <c r="S32" s="1"/>
      <c r="T32" t="str">
        <f t="shared" si="0"/>
        <v/>
      </c>
      <c r="U32" s="1" t="str">
        <f t="shared" si="1"/>
        <v>W20</v>
      </c>
      <c r="V32" s="12">
        <f t="shared" si="2"/>
        <v>6868627.9254999999</v>
      </c>
      <c r="W32" s="12"/>
      <c r="X32" s="38"/>
      <c r="Y32" s="38">
        <f t="shared" si="3"/>
        <v>8.2825857823500004E-4</v>
      </c>
      <c r="Z32" s="12"/>
      <c r="AB32" s="12">
        <f t="shared" si="4"/>
        <v>5554</v>
      </c>
      <c r="AC32" s="12"/>
      <c r="AE32" s="1"/>
    </row>
    <row r="33" spans="2:31" x14ac:dyDescent="0.3">
      <c r="B33" t="s">
        <v>332</v>
      </c>
      <c r="C33" s="13">
        <v>7359024</v>
      </c>
      <c r="D33" s="13">
        <v>4329</v>
      </c>
      <c r="E33" s="56">
        <v>5.8825735586699995E-4</v>
      </c>
      <c r="I33" s="13"/>
      <c r="K33" t="s">
        <v>241</v>
      </c>
      <c r="L33" s="6">
        <v>7114853.0033</v>
      </c>
      <c r="M33">
        <v>4186</v>
      </c>
      <c r="N33" s="13">
        <v>4287</v>
      </c>
      <c r="O33" s="56">
        <v>5.8834665987599999E-4</v>
      </c>
      <c r="S33" s="1"/>
      <c r="T33" t="str">
        <f t="shared" si="0"/>
        <v/>
      </c>
      <c r="U33" s="1" t="str">
        <f t="shared" si="1"/>
        <v>W21</v>
      </c>
      <c r="V33" s="12">
        <f t="shared" si="2"/>
        <v>7114853.0033</v>
      </c>
      <c r="W33" s="12"/>
      <c r="X33" s="38"/>
      <c r="Y33" s="38">
        <f t="shared" si="3"/>
        <v>5.8834665987599999E-4</v>
      </c>
      <c r="Z33" s="12"/>
      <c r="AB33" s="12">
        <f t="shared" si="4"/>
        <v>4287</v>
      </c>
      <c r="AC33" s="12"/>
      <c r="AE33" s="1"/>
    </row>
    <row r="34" spans="2:31" x14ac:dyDescent="0.3">
      <c r="B34" t="s">
        <v>230</v>
      </c>
      <c r="C34" s="13">
        <v>7424946</v>
      </c>
      <c r="D34" s="13">
        <v>4825</v>
      </c>
      <c r="E34" s="56">
        <v>6.49836375914E-4</v>
      </c>
      <c r="I34" s="13"/>
      <c r="K34" t="s">
        <v>115</v>
      </c>
      <c r="L34" s="6">
        <v>7510040.9607999995</v>
      </c>
      <c r="M34">
        <v>4880</v>
      </c>
      <c r="N34" s="13">
        <v>4641</v>
      </c>
      <c r="O34" s="56">
        <v>6.49796722211E-4</v>
      </c>
      <c r="S34" s="1"/>
      <c r="T34" t="str">
        <f t="shared" si="0"/>
        <v/>
      </c>
      <c r="U34" s="1" t="str">
        <f t="shared" si="1"/>
        <v>W22</v>
      </c>
      <c r="V34" s="12">
        <f t="shared" si="2"/>
        <v>7510040.9607999995</v>
      </c>
      <c r="W34" s="12"/>
      <c r="X34" s="38"/>
      <c r="Y34" s="38">
        <f t="shared" si="3"/>
        <v>6.49796722211E-4</v>
      </c>
      <c r="Z34" s="12"/>
      <c r="AB34" s="12">
        <f t="shared" si="4"/>
        <v>4641</v>
      </c>
      <c r="AC34" s="12"/>
      <c r="AE34" s="1"/>
    </row>
    <row r="35" spans="2:31" x14ac:dyDescent="0.3">
      <c r="B35" t="s">
        <v>54</v>
      </c>
      <c r="C35" s="13">
        <v>7595260</v>
      </c>
      <c r="D35" s="13">
        <v>5692</v>
      </c>
      <c r="E35" s="56">
        <v>7.4941476657799998E-4</v>
      </c>
      <c r="I35" s="13"/>
      <c r="K35" t="s">
        <v>177</v>
      </c>
      <c r="L35" s="6">
        <v>7324976.7586000003</v>
      </c>
      <c r="M35">
        <v>5490</v>
      </c>
      <c r="N35" s="13">
        <v>5257</v>
      </c>
      <c r="O35" s="56">
        <v>7.4949043265600001E-4</v>
      </c>
      <c r="S35" s="1"/>
      <c r="T35" t="str">
        <f t="shared" si="0"/>
        <v/>
      </c>
      <c r="U35" s="1" t="str">
        <f t="shared" si="1"/>
        <v>W23</v>
      </c>
      <c r="V35" s="12">
        <f t="shared" si="2"/>
        <v>7324976.7586000003</v>
      </c>
      <c r="W35" s="12"/>
      <c r="X35" s="38"/>
      <c r="Y35" s="38">
        <f t="shared" si="3"/>
        <v>7.4949043265600001E-4</v>
      </c>
      <c r="Z35" s="12"/>
      <c r="AB35" s="12">
        <f t="shared" si="4"/>
        <v>5257</v>
      </c>
      <c r="AC35" s="12"/>
      <c r="AE35" s="1"/>
    </row>
    <row r="36" spans="2:31" x14ac:dyDescent="0.3">
      <c r="B36" t="s">
        <v>261</v>
      </c>
      <c r="C36" s="13">
        <v>7596409</v>
      </c>
      <c r="D36" s="13">
        <v>7908</v>
      </c>
      <c r="E36" s="56">
        <v>1.0410181968879999E-3</v>
      </c>
      <c r="I36" s="13"/>
      <c r="K36" t="s">
        <v>141</v>
      </c>
      <c r="L36" s="6">
        <v>7372686.1618999997</v>
      </c>
      <c r="M36">
        <v>7675</v>
      </c>
      <c r="N36" s="13">
        <v>7710</v>
      </c>
      <c r="O36" s="56">
        <v>1.041004571666E-3</v>
      </c>
      <c r="S36" s="1"/>
      <c r="T36" t="str">
        <f t="shared" si="0"/>
        <v/>
      </c>
      <c r="U36" s="1" t="str">
        <f t="shared" si="1"/>
        <v>W24</v>
      </c>
      <c r="V36" s="12">
        <f t="shared" si="2"/>
        <v>7372686.1618999997</v>
      </c>
      <c r="W36" s="12"/>
      <c r="X36" s="38"/>
      <c r="Y36" s="38">
        <f t="shared" si="3"/>
        <v>1.041004571666E-3</v>
      </c>
      <c r="Z36" s="12"/>
      <c r="AB36" s="12">
        <f t="shared" si="4"/>
        <v>7710</v>
      </c>
      <c r="AC36" s="12"/>
      <c r="AE36" s="1"/>
    </row>
    <row r="37" spans="2:31" x14ac:dyDescent="0.3">
      <c r="B37" t="s">
        <v>333</v>
      </c>
      <c r="C37" s="13">
        <v>7121859</v>
      </c>
      <c r="D37" s="13">
        <v>4148</v>
      </c>
      <c r="E37" s="56">
        <v>5.8243219923300002E-4</v>
      </c>
      <c r="I37" s="13"/>
      <c r="K37" t="s">
        <v>239</v>
      </c>
      <c r="L37" s="6">
        <v>6940452.5455</v>
      </c>
      <c r="M37">
        <v>4042</v>
      </c>
      <c r="N37" s="13">
        <v>4177</v>
      </c>
      <c r="O37" s="56">
        <v>5.82382773098E-4</v>
      </c>
      <c r="S37" s="1"/>
      <c r="T37" t="str">
        <f t="shared" si="0"/>
        <v/>
      </c>
      <c r="U37" s="1" t="str">
        <f t="shared" si="1"/>
        <v>W25</v>
      </c>
      <c r="V37" s="12">
        <f t="shared" si="2"/>
        <v>6940452.5455</v>
      </c>
      <c r="W37" s="12"/>
      <c r="X37" s="38"/>
      <c r="Y37" s="38">
        <f t="shared" si="3"/>
        <v>5.82382773098E-4</v>
      </c>
      <c r="Z37" s="12"/>
      <c r="AB37" s="12">
        <f t="shared" si="4"/>
        <v>4177</v>
      </c>
      <c r="AC37" s="12"/>
      <c r="AE37" s="1"/>
    </row>
    <row r="38" spans="2:31" x14ac:dyDescent="0.3">
      <c r="B38" t="s">
        <v>334</v>
      </c>
      <c r="C38" s="13">
        <v>7168978</v>
      </c>
      <c r="D38" s="13">
        <v>5206</v>
      </c>
      <c r="E38" s="56">
        <v>7.2618440173800002E-4</v>
      </c>
      <c r="I38" s="13"/>
      <c r="K38" t="s">
        <v>196</v>
      </c>
      <c r="L38" s="6">
        <v>7370702.9555000002</v>
      </c>
      <c r="M38">
        <v>5353</v>
      </c>
      <c r="N38" s="13">
        <v>5154</v>
      </c>
      <c r="O38" s="56">
        <v>7.2625366024400004E-4</v>
      </c>
      <c r="S38" s="1"/>
      <c r="T38" t="str">
        <f t="shared" si="0"/>
        <v/>
      </c>
      <c r="U38" s="1" t="str">
        <f t="shared" si="1"/>
        <v>W26</v>
      </c>
      <c r="V38" s="12">
        <f t="shared" si="2"/>
        <v>7370702.9555000002</v>
      </c>
      <c r="W38" s="12"/>
      <c r="X38" s="38"/>
      <c r="Y38" s="38">
        <f t="shared" si="3"/>
        <v>7.2625366024400004E-4</v>
      </c>
      <c r="Z38" s="12"/>
      <c r="AB38" s="12">
        <f t="shared" si="4"/>
        <v>5154</v>
      </c>
      <c r="AC38" s="12"/>
      <c r="AE38" s="1"/>
    </row>
    <row r="39" spans="2:31" x14ac:dyDescent="0.3">
      <c r="B39" t="s">
        <v>265</v>
      </c>
      <c r="C39" s="13">
        <v>7221114</v>
      </c>
      <c r="D39" s="13">
        <v>5473</v>
      </c>
      <c r="E39" s="56">
        <v>7.5791629934099998E-4</v>
      </c>
      <c r="I39" s="13"/>
      <c r="K39" t="s">
        <v>92</v>
      </c>
      <c r="L39" s="6">
        <v>7997848.3943999996</v>
      </c>
      <c r="M39">
        <v>6062</v>
      </c>
      <c r="N39" s="13">
        <v>5946</v>
      </c>
      <c r="O39" s="56">
        <v>7.5795385221900003E-4</v>
      </c>
      <c r="S39" s="1"/>
      <c r="T39" t="str">
        <f t="shared" si="0"/>
        <v/>
      </c>
      <c r="U39" s="1" t="str">
        <f t="shared" si="1"/>
        <v>W27</v>
      </c>
      <c r="V39" s="12">
        <f t="shared" si="2"/>
        <v>7997848.3943999996</v>
      </c>
      <c r="W39" s="12"/>
      <c r="X39" s="38"/>
      <c r="Y39" s="38">
        <f t="shared" si="3"/>
        <v>7.5795385221900003E-4</v>
      </c>
      <c r="Z39" s="12"/>
      <c r="AB39" s="12">
        <f t="shared" si="4"/>
        <v>5946</v>
      </c>
      <c r="AC39" s="12"/>
      <c r="AE39" s="1"/>
    </row>
    <row r="40" spans="2:31" x14ac:dyDescent="0.3">
      <c r="B40" t="s">
        <v>335</v>
      </c>
      <c r="C40" s="13">
        <v>7006530</v>
      </c>
      <c r="D40" s="13">
        <v>7114</v>
      </c>
      <c r="E40" s="56">
        <v>1.0153385484679999E-3</v>
      </c>
      <c r="I40" s="13"/>
      <c r="K40" t="s">
        <v>279</v>
      </c>
      <c r="L40" s="6">
        <v>6763023.9687000001</v>
      </c>
      <c r="M40">
        <v>6867</v>
      </c>
      <c r="N40" s="13">
        <v>7115</v>
      </c>
      <c r="O40" s="56">
        <v>1.015374192341E-3</v>
      </c>
      <c r="S40" s="1"/>
      <c r="T40" t="str">
        <f t="shared" si="0"/>
        <v/>
      </c>
      <c r="U40" s="1" t="str">
        <f t="shared" si="1"/>
        <v>W28</v>
      </c>
      <c r="V40" s="12">
        <f t="shared" si="2"/>
        <v>6763023.9687000001</v>
      </c>
      <c r="W40" s="12"/>
      <c r="X40" s="38"/>
      <c r="Y40" s="38">
        <f t="shared" si="3"/>
        <v>1.015374192341E-3</v>
      </c>
      <c r="Z40" s="12"/>
      <c r="AB40" s="12">
        <f t="shared" si="4"/>
        <v>7115</v>
      </c>
      <c r="AC40" s="12"/>
      <c r="AE40" s="1"/>
    </row>
    <row r="41" spans="2:31" x14ac:dyDescent="0.3">
      <c r="B41" t="s">
        <v>336</v>
      </c>
      <c r="C41" s="13">
        <v>7582244</v>
      </c>
      <c r="D41" s="13">
        <v>4863</v>
      </c>
      <c r="E41" s="56">
        <v>6.4136685656599997E-4</v>
      </c>
      <c r="I41" s="13"/>
      <c r="K41" t="s">
        <v>95</v>
      </c>
      <c r="L41" s="6">
        <v>7661938.0915999999</v>
      </c>
      <c r="M41">
        <v>4914</v>
      </c>
      <c r="N41" s="13">
        <v>5110</v>
      </c>
      <c r="O41" s="56">
        <v>6.4135208889100001E-4</v>
      </c>
      <c r="S41" s="1"/>
      <c r="T41" t="str">
        <f t="shared" si="0"/>
        <v/>
      </c>
      <c r="U41" s="1" t="str">
        <f t="shared" si="1"/>
        <v>W29</v>
      </c>
      <c r="V41" s="12">
        <f t="shared" si="2"/>
        <v>7661938.0915999999</v>
      </c>
      <c r="W41" s="12"/>
      <c r="X41" s="38"/>
      <c r="Y41" s="38">
        <f t="shared" si="3"/>
        <v>6.4135208889100001E-4</v>
      </c>
      <c r="Z41" s="12"/>
      <c r="AB41" s="12">
        <f t="shared" si="4"/>
        <v>5110</v>
      </c>
      <c r="AC41" s="12"/>
      <c r="AE41" s="1"/>
    </row>
    <row r="42" spans="2:31" x14ac:dyDescent="0.3">
      <c r="B42" t="s">
        <v>201</v>
      </c>
      <c r="C42" s="13">
        <v>7475785</v>
      </c>
      <c r="D42" s="13">
        <v>6192</v>
      </c>
      <c r="E42" s="56">
        <v>8.28274221369E-4</v>
      </c>
      <c r="I42" s="13"/>
      <c r="K42" t="s">
        <v>229</v>
      </c>
      <c r="L42" s="6">
        <v>7442564.3777999999</v>
      </c>
      <c r="M42">
        <v>6164</v>
      </c>
      <c r="N42" s="13">
        <v>5919</v>
      </c>
      <c r="O42" s="56">
        <v>8.2820916113100003E-4</v>
      </c>
      <c r="S42" s="1"/>
      <c r="T42" t="str">
        <f t="shared" si="0"/>
        <v/>
      </c>
      <c r="U42" s="1" t="str">
        <f t="shared" si="1"/>
        <v>W30</v>
      </c>
      <c r="V42" s="12">
        <f t="shared" si="2"/>
        <v>7442564.3777999999</v>
      </c>
      <c r="W42" s="12"/>
      <c r="X42" s="38"/>
      <c r="Y42" s="38">
        <f t="shared" si="3"/>
        <v>8.2820916113100003E-4</v>
      </c>
      <c r="Z42" s="12"/>
      <c r="AB42" s="12">
        <f t="shared" si="4"/>
        <v>5919</v>
      </c>
      <c r="AC42" s="12"/>
      <c r="AE42" s="1"/>
    </row>
    <row r="43" spans="2:31" x14ac:dyDescent="0.3">
      <c r="B43" t="s">
        <v>198</v>
      </c>
      <c r="C43" s="13">
        <v>7798629</v>
      </c>
      <c r="D43" s="13">
        <v>7098</v>
      </c>
      <c r="E43" s="56">
        <v>9.1015997811899998E-4</v>
      </c>
      <c r="I43" s="13"/>
      <c r="K43" t="s">
        <v>220</v>
      </c>
      <c r="L43" s="6">
        <v>7099755.7318000002</v>
      </c>
      <c r="M43">
        <v>6461</v>
      </c>
      <c r="N43" s="13">
        <v>6642</v>
      </c>
      <c r="O43" s="56">
        <v>9.1003130869199997E-4</v>
      </c>
      <c r="S43" s="1"/>
      <c r="T43" t="str">
        <f t="shared" si="0"/>
        <v/>
      </c>
      <c r="U43" s="1" t="str">
        <f t="shared" si="1"/>
        <v>W31</v>
      </c>
      <c r="V43" s="12">
        <f t="shared" si="2"/>
        <v>7099755.7318000002</v>
      </c>
      <c r="W43" s="12"/>
      <c r="X43" s="38"/>
      <c r="Y43" s="38">
        <f t="shared" si="3"/>
        <v>9.1003130869199997E-4</v>
      </c>
      <c r="Z43" s="12"/>
      <c r="AB43" s="12">
        <f t="shared" si="4"/>
        <v>6642</v>
      </c>
      <c r="AC43" s="12"/>
      <c r="AE43" s="1"/>
    </row>
    <row r="44" spans="2:31" x14ac:dyDescent="0.3">
      <c r="B44" t="s">
        <v>272</v>
      </c>
      <c r="C44" s="13">
        <v>6747597</v>
      </c>
      <c r="D44" s="13">
        <v>6170</v>
      </c>
      <c r="E44" s="56">
        <v>9.1439960033200002E-4</v>
      </c>
      <c r="I44" s="13"/>
      <c r="K44" t="s">
        <v>51</v>
      </c>
      <c r="L44" s="6">
        <v>6929266.6677999999</v>
      </c>
      <c r="M44">
        <v>6336</v>
      </c>
      <c r="N44" s="13">
        <v>6412</v>
      </c>
      <c r="O44" s="56">
        <v>9.1438247418599997E-4</v>
      </c>
      <c r="S44" s="1"/>
      <c r="T44" t="str">
        <f t="shared" si="0"/>
        <v/>
      </c>
      <c r="U44" s="1" t="str">
        <f t="shared" si="1"/>
        <v>W32</v>
      </c>
      <c r="V44" s="12">
        <f t="shared" si="2"/>
        <v>6929266.6677999999</v>
      </c>
      <c r="W44" s="12"/>
      <c r="X44" s="38"/>
      <c r="Y44" s="38">
        <f t="shared" si="3"/>
        <v>9.1438247418599997E-4</v>
      </c>
      <c r="Z44" s="12"/>
      <c r="AB44" s="12">
        <f t="shared" si="4"/>
        <v>6412</v>
      </c>
      <c r="AC44" s="12"/>
      <c r="AE44" s="1"/>
    </row>
    <row r="45" spans="2:31" x14ac:dyDescent="0.3">
      <c r="B45" t="s">
        <v>337</v>
      </c>
      <c r="C45" s="13">
        <v>7604476</v>
      </c>
      <c r="D45" s="13">
        <v>5308</v>
      </c>
      <c r="E45" s="56">
        <v>6.9800996150199996E-4</v>
      </c>
      <c r="I45" s="13"/>
      <c r="K45" t="s">
        <v>199</v>
      </c>
      <c r="L45" s="6">
        <v>6601172.0343000004</v>
      </c>
      <c r="M45">
        <v>4608</v>
      </c>
      <c r="N45" s="13">
        <v>4449</v>
      </c>
      <c r="O45" s="56">
        <v>6.98057856401E-4</v>
      </c>
      <c r="S45" s="1"/>
      <c r="T45" t="str">
        <f t="shared" si="0"/>
        <v/>
      </c>
      <c r="U45" s="1" t="str">
        <f t="shared" si="1"/>
        <v>W33</v>
      </c>
      <c r="V45" s="12">
        <f t="shared" si="2"/>
        <v>6601172.0343000004</v>
      </c>
      <c r="W45" s="12"/>
      <c r="X45" s="38"/>
      <c r="Y45" s="38">
        <f t="shared" si="3"/>
        <v>6.98057856401E-4</v>
      </c>
      <c r="Z45" s="12"/>
      <c r="AB45" s="12">
        <f t="shared" si="4"/>
        <v>4449</v>
      </c>
      <c r="AC45" s="12"/>
      <c r="AE45" s="1"/>
    </row>
    <row r="46" spans="2:31" x14ac:dyDescent="0.3">
      <c r="B46" t="s">
        <v>338</v>
      </c>
      <c r="C46" s="13">
        <v>7266178</v>
      </c>
      <c r="D46" s="13">
        <v>7784</v>
      </c>
      <c r="E46" s="56">
        <v>1.0712647006450001E-3</v>
      </c>
      <c r="I46" s="13"/>
      <c r="K46" t="s">
        <v>89</v>
      </c>
      <c r="L46" s="6">
        <v>7202764.1231000004</v>
      </c>
      <c r="M46">
        <v>7716</v>
      </c>
      <c r="N46" s="13">
        <v>8083</v>
      </c>
      <c r="O46" s="56">
        <v>1.0712554053039999E-3</v>
      </c>
      <c r="S46" s="1"/>
      <c r="T46" t="str">
        <f t="shared" si="0"/>
        <v/>
      </c>
      <c r="U46" s="1" t="str">
        <f t="shared" si="1"/>
        <v>W34</v>
      </c>
      <c r="V46" s="12">
        <f t="shared" si="2"/>
        <v>7202764.1231000004</v>
      </c>
      <c r="W46" s="12"/>
      <c r="X46" s="38"/>
      <c r="Y46" s="38">
        <f t="shared" si="3"/>
        <v>1.0712554053039999E-3</v>
      </c>
      <c r="Z46" s="12"/>
      <c r="AB46" s="12">
        <f t="shared" si="4"/>
        <v>8083</v>
      </c>
      <c r="AC46" s="12"/>
      <c r="AE46" s="1"/>
    </row>
    <row r="47" spans="2:31" x14ac:dyDescent="0.3">
      <c r="B47" t="s">
        <v>116</v>
      </c>
      <c r="C47" s="13">
        <v>7130639</v>
      </c>
      <c r="D47" s="13">
        <v>4792</v>
      </c>
      <c r="E47" s="56">
        <v>6.7202953339800002E-4</v>
      </c>
      <c r="I47" s="13"/>
      <c r="K47" t="s">
        <v>167</v>
      </c>
      <c r="L47" s="6">
        <v>7364207.9101</v>
      </c>
      <c r="M47">
        <v>4949</v>
      </c>
      <c r="N47" s="13">
        <v>5103</v>
      </c>
      <c r="O47" s="56">
        <v>6.7203425818699995E-4</v>
      </c>
      <c r="S47" s="1"/>
      <c r="T47" t="str">
        <f t="shared" si="0"/>
        <v/>
      </c>
      <c r="U47" s="1" t="str">
        <f t="shared" si="1"/>
        <v>W35</v>
      </c>
      <c r="V47" s="12">
        <f t="shared" si="2"/>
        <v>7364207.9101</v>
      </c>
      <c r="W47" s="12"/>
      <c r="X47" s="38"/>
      <c r="Y47" s="38">
        <f t="shared" si="3"/>
        <v>6.7203425818699995E-4</v>
      </c>
      <c r="Z47" s="12"/>
      <c r="AB47" s="12">
        <f t="shared" si="4"/>
        <v>5103</v>
      </c>
      <c r="AC47" s="12"/>
      <c r="AE47" s="1"/>
    </row>
    <row r="48" spans="2:31" x14ac:dyDescent="0.3">
      <c r="B48" t="s">
        <v>339</v>
      </c>
      <c r="C48" s="13">
        <v>7441577</v>
      </c>
      <c r="D48" s="13">
        <v>6137</v>
      </c>
      <c r="E48" s="56">
        <v>8.2469078798800004E-4</v>
      </c>
      <c r="I48" s="13"/>
      <c r="K48" t="s">
        <v>340</v>
      </c>
      <c r="L48" s="6">
        <v>7915196.0184000004</v>
      </c>
      <c r="M48">
        <v>6528</v>
      </c>
      <c r="N48" s="13">
        <v>6682</v>
      </c>
      <c r="O48" s="56">
        <v>8.2474268291299997E-4</v>
      </c>
      <c r="S48" s="1"/>
      <c r="T48" t="str">
        <f t="shared" si="0"/>
        <v/>
      </c>
      <c r="U48" s="1" t="str">
        <f t="shared" si="1"/>
        <v>W36</v>
      </c>
      <c r="V48" s="12">
        <f t="shared" si="2"/>
        <v>7915196.0184000004</v>
      </c>
      <c r="W48" s="12"/>
      <c r="X48" s="38"/>
      <c r="Y48" s="38">
        <f t="shared" si="3"/>
        <v>8.2474268291299997E-4</v>
      </c>
      <c r="Z48" s="12"/>
      <c r="AB48" s="12">
        <f t="shared" si="4"/>
        <v>6682</v>
      </c>
      <c r="AC48" s="12"/>
      <c r="AE48" s="1"/>
    </row>
    <row r="49" spans="2:31" x14ac:dyDescent="0.3">
      <c r="B49" t="s">
        <v>341</v>
      </c>
      <c r="C49" s="13">
        <v>7452710</v>
      </c>
      <c r="D49" s="13">
        <v>5792</v>
      </c>
      <c r="E49" s="56">
        <v>7.7716696342699999E-4</v>
      </c>
      <c r="I49" s="13"/>
      <c r="K49" t="s">
        <v>236</v>
      </c>
      <c r="L49" s="6">
        <v>6875000.9664000003</v>
      </c>
      <c r="M49">
        <v>5343</v>
      </c>
      <c r="N49" s="13">
        <v>5253</v>
      </c>
      <c r="O49" s="56">
        <v>7.7716352711999998E-4</v>
      </c>
      <c r="S49" s="1"/>
      <c r="T49" t="str">
        <f t="shared" si="0"/>
        <v/>
      </c>
      <c r="U49" s="1" t="str">
        <f t="shared" si="1"/>
        <v>W37</v>
      </c>
      <c r="V49" s="12">
        <f t="shared" si="2"/>
        <v>6875000.9664000003</v>
      </c>
      <c r="W49" s="12"/>
      <c r="X49" s="38"/>
      <c r="Y49" s="38">
        <f t="shared" si="3"/>
        <v>7.7716352711999998E-4</v>
      </c>
      <c r="Z49" s="12"/>
      <c r="AB49" s="12">
        <f t="shared" si="4"/>
        <v>5253</v>
      </c>
      <c r="AC49" s="12"/>
      <c r="AE49" s="1"/>
    </row>
    <row r="50" spans="2:31" x14ac:dyDescent="0.3">
      <c r="B50" t="s">
        <v>56</v>
      </c>
      <c r="C50" s="13">
        <v>7022656</v>
      </c>
      <c r="D50" s="13">
        <v>7338</v>
      </c>
      <c r="E50" s="56">
        <v>1.044903808474E-3</v>
      </c>
      <c r="I50" s="13"/>
      <c r="K50" t="s">
        <v>119</v>
      </c>
      <c r="L50" s="6">
        <v>6795821.7269000001</v>
      </c>
      <c r="M50">
        <v>7101</v>
      </c>
      <c r="N50" s="13">
        <v>7360</v>
      </c>
      <c r="O50" s="56">
        <v>1.0449067508480001E-3</v>
      </c>
      <c r="S50" s="1"/>
      <c r="T50" t="str">
        <f t="shared" si="0"/>
        <v/>
      </c>
      <c r="U50" s="1" t="str">
        <f t="shared" si="1"/>
        <v>W38</v>
      </c>
      <c r="V50" s="12">
        <f t="shared" si="2"/>
        <v>6795821.7269000001</v>
      </c>
      <c r="W50" s="12"/>
      <c r="X50" s="38"/>
      <c r="Y50" s="38">
        <f t="shared" si="3"/>
        <v>1.0449067508480001E-3</v>
      </c>
      <c r="Z50" s="12"/>
      <c r="AB50" s="12">
        <f t="shared" si="4"/>
        <v>7360</v>
      </c>
      <c r="AC50" s="12"/>
      <c r="AE50" s="1"/>
    </row>
    <row r="51" spans="2:31" x14ac:dyDescent="0.3">
      <c r="B51" t="s">
        <v>342</v>
      </c>
      <c r="C51" s="13">
        <v>7557705</v>
      </c>
      <c r="D51" s="13">
        <v>5187</v>
      </c>
      <c r="E51" s="56">
        <v>6.8631945808900001E-4</v>
      </c>
      <c r="I51" s="13"/>
      <c r="K51" t="s">
        <v>123</v>
      </c>
      <c r="L51" s="6">
        <v>6883040.284</v>
      </c>
      <c r="M51">
        <v>4724</v>
      </c>
      <c r="N51" s="13">
        <v>4871</v>
      </c>
      <c r="O51" s="56">
        <v>6.8632461893099997E-4</v>
      </c>
      <c r="S51" s="1"/>
      <c r="T51" t="str">
        <f t="shared" si="0"/>
        <v/>
      </c>
      <c r="U51" s="1" t="str">
        <f t="shared" si="1"/>
        <v>W39</v>
      </c>
      <c r="V51" s="12">
        <f t="shared" si="2"/>
        <v>6883040.284</v>
      </c>
      <c r="W51" s="12"/>
      <c r="X51" s="38"/>
      <c r="Y51" s="38">
        <f t="shared" si="3"/>
        <v>6.8632461893099997E-4</v>
      </c>
      <c r="Z51" s="12"/>
      <c r="AB51" s="12">
        <f t="shared" si="4"/>
        <v>4871</v>
      </c>
      <c r="AC51" s="12"/>
      <c r="AE51" s="1"/>
    </row>
    <row r="52" spans="2:31" x14ac:dyDescent="0.3">
      <c r="B52" t="s">
        <v>249</v>
      </c>
      <c r="C52" s="13">
        <v>7160419</v>
      </c>
      <c r="D52" s="13">
        <v>5529</v>
      </c>
      <c r="E52" s="56">
        <v>7.72161517364E-4</v>
      </c>
      <c r="I52" s="13"/>
      <c r="K52" t="s">
        <v>343</v>
      </c>
      <c r="L52" s="6">
        <v>7320343.5939999996</v>
      </c>
      <c r="M52">
        <v>5653</v>
      </c>
      <c r="N52" s="13">
        <v>5431</v>
      </c>
      <c r="O52" s="56">
        <v>7.7223151173300001E-4</v>
      </c>
      <c r="S52" s="1"/>
      <c r="T52" t="str">
        <f t="shared" si="0"/>
        <v/>
      </c>
      <c r="U52" s="1" t="str">
        <f t="shared" si="1"/>
        <v>W40</v>
      </c>
      <c r="V52" s="12">
        <f t="shared" si="2"/>
        <v>7320343.5939999996</v>
      </c>
      <c r="W52" s="12"/>
      <c r="X52" s="38"/>
      <c r="Y52" s="38">
        <f t="shared" si="3"/>
        <v>7.7223151173300001E-4</v>
      </c>
      <c r="Z52" s="12"/>
      <c r="AB52" s="12">
        <f t="shared" si="4"/>
        <v>5431</v>
      </c>
      <c r="AC52" s="12"/>
      <c r="AE52" s="1"/>
    </row>
    <row r="53" spans="2:31" x14ac:dyDescent="0.3">
      <c r="B53" t="s">
        <v>282</v>
      </c>
      <c r="C53" s="13">
        <v>6919044</v>
      </c>
      <c r="D53" s="13">
        <v>7351</v>
      </c>
      <c r="E53" s="56">
        <v>1.0624300120070001E-3</v>
      </c>
      <c r="I53" s="13"/>
      <c r="K53" t="s">
        <v>219</v>
      </c>
      <c r="L53" s="6">
        <v>6947537.8908000002</v>
      </c>
      <c r="M53">
        <v>7382</v>
      </c>
      <c r="N53" s="13">
        <v>7657</v>
      </c>
      <c r="O53" s="56">
        <v>1.0625346872559999E-3</v>
      </c>
      <c r="S53" s="1"/>
      <c r="T53" t="str">
        <f t="shared" si="0"/>
        <v/>
      </c>
      <c r="U53" s="1" t="str">
        <f t="shared" si="1"/>
        <v>W41</v>
      </c>
      <c r="V53" s="12">
        <f t="shared" si="2"/>
        <v>6947537.8908000002</v>
      </c>
      <c r="W53" s="12"/>
      <c r="X53" s="38"/>
      <c r="Y53" s="38">
        <f t="shared" si="3"/>
        <v>1.0625346872559999E-3</v>
      </c>
      <c r="Z53" s="12"/>
      <c r="AB53" s="12">
        <f t="shared" si="4"/>
        <v>7657</v>
      </c>
      <c r="AC53" s="12"/>
      <c r="AE53" s="1"/>
    </row>
    <row r="54" spans="2:31" x14ac:dyDescent="0.3">
      <c r="B54" t="s">
        <v>344</v>
      </c>
      <c r="C54" s="13">
        <v>6510356</v>
      </c>
      <c r="D54" s="13">
        <v>5645</v>
      </c>
      <c r="E54" s="56">
        <v>8.6708007979899998E-4</v>
      </c>
      <c r="I54" s="13"/>
      <c r="K54" t="s">
        <v>128</v>
      </c>
      <c r="L54" s="6">
        <v>6662939.2637999998</v>
      </c>
      <c r="M54">
        <v>5777</v>
      </c>
      <c r="N54" s="13">
        <v>5960</v>
      </c>
      <c r="O54" s="56">
        <v>8.6703476818200003E-4</v>
      </c>
      <c r="S54" s="1"/>
      <c r="T54" t="str">
        <f t="shared" si="0"/>
        <v/>
      </c>
      <c r="U54" s="1" t="str">
        <f t="shared" si="1"/>
        <v>W42</v>
      </c>
      <c r="V54" s="12">
        <f t="shared" si="2"/>
        <v>6662939.2637999998</v>
      </c>
      <c r="W54" s="12"/>
      <c r="X54" s="38"/>
      <c r="Y54" s="38">
        <f t="shared" si="3"/>
        <v>8.6703476818200003E-4</v>
      </c>
      <c r="Z54" s="12"/>
      <c r="AB54" s="12">
        <f t="shared" si="4"/>
        <v>5960</v>
      </c>
      <c r="AC54" s="12"/>
      <c r="AE54" s="1"/>
    </row>
    <row r="55" spans="2:31" x14ac:dyDescent="0.3">
      <c r="B55" t="s">
        <v>102</v>
      </c>
      <c r="C55" s="13">
        <v>6957765</v>
      </c>
      <c r="D55" s="13">
        <v>4992</v>
      </c>
      <c r="E55" s="56">
        <v>7.1747177434099997E-4</v>
      </c>
      <c r="I55" s="13"/>
      <c r="K55" t="s">
        <v>189</v>
      </c>
      <c r="L55" s="6">
        <v>7183763.2369999997</v>
      </c>
      <c r="M55">
        <v>5154</v>
      </c>
      <c r="N55" s="13">
        <v>5134</v>
      </c>
      <c r="O55" s="56">
        <v>7.1745126195899998E-4</v>
      </c>
      <c r="S55" s="1"/>
      <c r="T55" t="str">
        <f t="shared" si="0"/>
        <v/>
      </c>
      <c r="U55" s="1" t="str">
        <f t="shared" si="1"/>
        <v>W43</v>
      </c>
      <c r="V55" s="12">
        <f t="shared" si="2"/>
        <v>7183763.2369999997</v>
      </c>
      <c r="W55" s="12"/>
      <c r="X55" s="38"/>
      <c r="Y55" s="38">
        <f t="shared" si="3"/>
        <v>7.1745126195899998E-4</v>
      </c>
      <c r="Z55" s="12"/>
      <c r="AB55" s="12">
        <f t="shared" si="4"/>
        <v>5134</v>
      </c>
      <c r="AC55" s="12"/>
      <c r="AE55" s="1"/>
    </row>
    <row r="56" spans="2:31" x14ac:dyDescent="0.3">
      <c r="B56" t="s">
        <v>345</v>
      </c>
      <c r="C56" s="13">
        <v>7571905</v>
      </c>
      <c r="D56" s="13">
        <v>5370</v>
      </c>
      <c r="E56" s="56">
        <v>7.0920065690200003E-4</v>
      </c>
      <c r="I56" s="13"/>
      <c r="K56" t="s">
        <v>271</v>
      </c>
      <c r="L56" s="6">
        <v>7022177.1503999997</v>
      </c>
      <c r="M56">
        <v>4980</v>
      </c>
      <c r="N56" s="13">
        <v>4844</v>
      </c>
      <c r="O56" s="56">
        <v>7.0918176704200004E-4</v>
      </c>
      <c r="S56" s="1"/>
      <c r="T56" t="str">
        <f t="shared" si="0"/>
        <v/>
      </c>
      <c r="U56" s="1" t="str">
        <f t="shared" si="1"/>
        <v>W44</v>
      </c>
      <c r="V56" s="12">
        <f t="shared" si="2"/>
        <v>7022177.1503999997</v>
      </c>
      <c r="W56" s="12"/>
      <c r="X56" s="38"/>
      <c r="Y56" s="38">
        <f t="shared" si="3"/>
        <v>7.0918176704200004E-4</v>
      </c>
      <c r="Z56" s="12"/>
      <c r="AB56" s="12">
        <f t="shared" si="4"/>
        <v>4844</v>
      </c>
      <c r="AC56" s="12"/>
      <c r="AE56" s="1"/>
    </row>
    <row r="57" spans="2:31" x14ac:dyDescent="0.3">
      <c r="B57" t="s">
        <v>205</v>
      </c>
      <c r="C57" s="13">
        <v>7225986</v>
      </c>
      <c r="D57" s="13">
        <v>7597</v>
      </c>
      <c r="E57" s="56">
        <v>1.051344411683E-3</v>
      </c>
      <c r="I57" s="13"/>
      <c r="K57" t="s">
        <v>84</v>
      </c>
      <c r="L57" s="6">
        <v>7077249.0257999999</v>
      </c>
      <c r="M57">
        <v>7440</v>
      </c>
      <c r="N57" s="13">
        <v>7086</v>
      </c>
      <c r="O57" s="56">
        <v>1.0512559290869999E-3</v>
      </c>
      <c r="S57" s="1"/>
      <c r="T57" t="str">
        <f t="shared" si="0"/>
        <v/>
      </c>
      <c r="U57" s="1" t="str">
        <f t="shared" si="1"/>
        <v>W45</v>
      </c>
      <c r="V57" s="12">
        <f t="shared" si="2"/>
        <v>7077249.0257999999</v>
      </c>
      <c r="W57" s="12"/>
      <c r="X57" s="38"/>
      <c r="Y57" s="38">
        <f t="shared" si="3"/>
        <v>1.0512559290869999E-3</v>
      </c>
      <c r="Z57" s="12"/>
      <c r="AB57" s="12">
        <f t="shared" si="4"/>
        <v>7086</v>
      </c>
      <c r="AC57" s="12"/>
      <c r="AE57" s="1"/>
    </row>
    <row r="58" spans="2:31" x14ac:dyDescent="0.3">
      <c r="B58" t="s">
        <v>106</v>
      </c>
      <c r="C58" s="13">
        <v>7512144</v>
      </c>
      <c r="D58" s="13">
        <v>6361</v>
      </c>
      <c r="E58" s="56">
        <v>8.4676225588900002E-4</v>
      </c>
      <c r="I58" s="13"/>
      <c r="K58" t="s">
        <v>346</v>
      </c>
      <c r="L58" s="6">
        <v>7328216.8912000004</v>
      </c>
      <c r="M58">
        <v>6206</v>
      </c>
      <c r="N58" s="13">
        <v>6432</v>
      </c>
      <c r="O58" s="56">
        <v>8.4686358116000001E-4</v>
      </c>
      <c r="S58" s="1"/>
      <c r="T58" t="str">
        <f t="shared" si="0"/>
        <v/>
      </c>
      <c r="U58" s="1" t="str">
        <f t="shared" si="1"/>
        <v>W46</v>
      </c>
      <c r="V58" s="12">
        <f t="shared" si="2"/>
        <v>7328216.8912000004</v>
      </c>
      <c r="W58" s="12"/>
      <c r="X58" s="38"/>
      <c r="Y58" s="38">
        <f t="shared" si="3"/>
        <v>8.4686358116000001E-4</v>
      </c>
      <c r="Z58" s="12"/>
      <c r="AB58" s="12">
        <f t="shared" si="4"/>
        <v>6432</v>
      </c>
      <c r="AC58" s="12"/>
      <c r="AE58" s="1"/>
    </row>
    <row r="59" spans="2:31" x14ac:dyDescent="0.3">
      <c r="B59" t="s">
        <v>73</v>
      </c>
      <c r="C59" s="13">
        <v>7208873</v>
      </c>
      <c r="D59" s="13">
        <v>6671</v>
      </c>
      <c r="E59" s="56">
        <v>9.2538736637499995E-4</v>
      </c>
      <c r="I59" s="13"/>
      <c r="K59" t="s">
        <v>131</v>
      </c>
      <c r="L59" s="6">
        <v>6648151.9555000002</v>
      </c>
      <c r="M59">
        <v>6152</v>
      </c>
      <c r="N59" s="13">
        <v>6439</v>
      </c>
      <c r="O59" s="56">
        <v>9.2536994358399999E-4</v>
      </c>
      <c r="S59" s="1"/>
      <c r="T59" t="str">
        <f t="shared" si="0"/>
        <v/>
      </c>
      <c r="U59" s="1" t="str">
        <f t="shared" si="1"/>
        <v>W47</v>
      </c>
      <c r="V59" s="12">
        <f t="shared" si="2"/>
        <v>6648151.9555000002</v>
      </c>
      <c r="W59" s="12"/>
      <c r="X59" s="38"/>
      <c r="Y59" s="38">
        <f t="shared" si="3"/>
        <v>9.2536994358399999E-4</v>
      </c>
      <c r="Z59" s="12"/>
      <c r="AB59" s="12">
        <f t="shared" si="4"/>
        <v>6439</v>
      </c>
      <c r="AC59" s="12"/>
      <c r="AE59" s="1"/>
    </row>
    <row r="60" spans="2:31" x14ac:dyDescent="0.3">
      <c r="B60" t="s">
        <v>347</v>
      </c>
      <c r="C60" s="13">
        <v>7424874</v>
      </c>
      <c r="D60" s="13">
        <v>5650</v>
      </c>
      <c r="E60" s="56">
        <v>7.6095567412999999E-4</v>
      </c>
      <c r="I60" s="13"/>
      <c r="K60" t="s">
        <v>88</v>
      </c>
      <c r="L60" s="6">
        <v>7132687.8108000001</v>
      </c>
      <c r="M60">
        <v>5427</v>
      </c>
      <c r="N60" s="13">
        <v>5373</v>
      </c>
      <c r="O60" s="56">
        <v>7.6086324594E-4</v>
      </c>
      <c r="S60" s="1"/>
      <c r="T60" t="str">
        <f t="shared" si="0"/>
        <v/>
      </c>
      <c r="U60" s="1" t="str">
        <f t="shared" si="1"/>
        <v>W48</v>
      </c>
      <c r="V60" s="12">
        <f t="shared" si="2"/>
        <v>7132687.8108000001</v>
      </c>
      <c r="W60" s="12"/>
      <c r="X60" s="38"/>
      <c r="Y60" s="38">
        <f t="shared" si="3"/>
        <v>7.6086324594E-4</v>
      </c>
      <c r="Z60" s="12"/>
      <c r="AB60" s="12">
        <f t="shared" si="4"/>
        <v>5373</v>
      </c>
      <c r="AC60" s="12"/>
      <c r="AE60" s="1"/>
    </row>
    <row r="61" spans="2:31" x14ac:dyDescent="0.3">
      <c r="B61" t="s">
        <v>137</v>
      </c>
      <c r="C61" s="13">
        <v>7486826</v>
      </c>
      <c r="D61" s="13">
        <v>7571</v>
      </c>
      <c r="E61" s="56">
        <v>1.0112429486139999E-3</v>
      </c>
      <c r="I61" s="13"/>
      <c r="K61" t="s">
        <v>276</v>
      </c>
      <c r="L61" s="6">
        <v>6945821.1584999999</v>
      </c>
      <c r="M61">
        <v>7024</v>
      </c>
      <c r="N61" s="13">
        <v>7362</v>
      </c>
      <c r="O61" s="56">
        <v>1.011255521805E-3</v>
      </c>
      <c r="S61" s="1"/>
      <c r="T61" t="str">
        <f t="shared" si="0"/>
        <v/>
      </c>
      <c r="U61" s="1" t="str">
        <f t="shared" si="1"/>
        <v>W49</v>
      </c>
      <c r="V61" s="12">
        <f t="shared" si="2"/>
        <v>6945821.1584999999</v>
      </c>
      <c r="W61" s="12"/>
      <c r="X61" s="38"/>
      <c r="Y61" s="38">
        <f t="shared" si="3"/>
        <v>1.011255521805E-3</v>
      </c>
      <c r="Z61" s="12"/>
      <c r="AB61" s="12">
        <f t="shared" si="4"/>
        <v>7362</v>
      </c>
      <c r="AC61" s="12"/>
      <c r="AE61" s="1"/>
    </row>
    <row r="62" spans="2:31" x14ac:dyDescent="0.3">
      <c r="B62" t="s">
        <v>348</v>
      </c>
      <c r="C62" s="13">
        <v>7743026</v>
      </c>
      <c r="D62" s="13">
        <v>3516</v>
      </c>
      <c r="E62" s="56">
        <v>4.5408603819700001E-4</v>
      </c>
      <c r="I62" s="13"/>
      <c r="K62" t="s">
        <v>136</v>
      </c>
      <c r="L62" s="6">
        <v>6834455.0247999998</v>
      </c>
      <c r="M62">
        <v>3104</v>
      </c>
      <c r="N62" s="13">
        <v>2985</v>
      </c>
      <c r="O62" s="56">
        <v>4.5416935055300002E-4</v>
      </c>
      <c r="S62" s="1"/>
      <c r="T62" t="str">
        <f t="shared" si="0"/>
        <v/>
      </c>
      <c r="U62" s="1" t="str">
        <f t="shared" si="1"/>
        <v>W50</v>
      </c>
      <c r="V62" s="12">
        <f t="shared" si="2"/>
        <v>6834455.0247999998</v>
      </c>
      <c r="W62" s="12"/>
      <c r="X62" s="38"/>
      <c r="Y62" s="38">
        <f t="shared" si="3"/>
        <v>4.5416935055300002E-4</v>
      </c>
      <c r="Z62" s="12"/>
      <c r="AB62" s="12">
        <f t="shared" si="4"/>
        <v>2985</v>
      </c>
      <c r="AC62" s="12"/>
      <c r="AE62" s="1"/>
    </row>
    <row r="63" spans="2:31" x14ac:dyDescent="0.3">
      <c r="B63" t="s">
        <v>349</v>
      </c>
      <c r="C63" s="13">
        <v>7609468</v>
      </c>
      <c r="D63" s="13">
        <v>5478</v>
      </c>
      <c r="E63" s="56">
        <v>7.1989263901199997E-4</v>
      </c>
      <c r="I63" s="13"/>
      <c r="K63" t="s">
        <v>94</v>
      </c>
      <c r="L63" s="6">
        <v>6996922.4434000002</v>
      </c>
      <c r="M63">
        <v>5037</v>
      </c>
      <c r="N63" s="13">
        <v>5274</v>
      </c>
      <c r="O63" s="56">
        <v>7.19887927978E-4</v>
      </c>
      <c r="S63" s="1"/>
      <c r="T63" t="str">
        <f t="shared" si="0"/>
        <v/>
      </c>
      <c r="U63" s="1" t="str">
        <f t="shared" si="1"/>
        <v>W51</v>
      </c>
      <c r="V63" s="12">
        <f t="shared" si="2"/>
        <v>6996922.4434000002</v>
      </c>
      <c r="W63" s="12"/>
      <c r="X63" s="38"/>
      <c r="Y63" s="38">
        <f t="shared" si="3"/>
        <v>7.19887927978E-4</v>
      </c>
      <c r="Z63" s="12"/>
      <c r="AB63" s="12">
        <f t="shared" si="4"/>
        <v>5274</v>
      </c>
      <c r="AC63" s="12"/>
      <c r="AE63" s="1"/>
    </row>
    <row r="64" spans="2:31" x14ac:dyDescent="0.3">
      <c r="B64" t="s">
        <v>350</v>
      </c>
      <c r="C64" s="13">
        <v>6843887</v>
      </c>
      <c r="D64" s="13">
        <v>6617</v>
      </c>
      <c r="E64" s="56">
        <v>9.6684822528500004E-4</v>
      </c>
      <c r="I64" s="13"/>
      <c r="K64" t="s">
        <v>144</v>
      </c>
      <c r="L64" s="6">
        <v>6553990.0395999998</v>
      </c>
      <c r="M64">
        <v>6336</v>
      </c>
      <c r="N64" s="13">
        <v>6187</v>
      </c>
      <c r="O64" s="56">
        <v>9.6673933919900004E-4</v>
      </c>
      <c r="S64" s="57"/>
      <c r="T64" s="58" t="str">
        <f t="shared" si="0"/>
        <v/>
      </c>
      <c r="U64" s="57" t="str">
        <f t="shared" si="1"/>
        <v>W52</v>
      </c>
      <c r="V64" s="45">
        <f t="shared" si="2"/>
        <v>6553990.0395999998</v>
      </c>
      <c r="W64" s="45"/>
      <c r="X64" s="48"/>
      <c r="Y64" s="48">
        <f t="shared" si="3"/>
        <v>9.6673933919900004E-4</v>
      </c>
      <c r="Z64" s="45"/>
      <c r="AB64" s="45">
        <f t="shared" si="4"/>
        <v>6187</v>
      </c>
      <c r="AC64" s="45"/>
      <c r="AE64" s="1"/>
    </row>
    <row r="65" spans="1:31" x14ac:dyDescent="0.3">
      <c r="A65" t="s">
        <v>351</v>
      </c>
      <c r="B65" t="s">
        <v>87</v>
      </c>
      <c r="C65" s="13">
        <v>6914044</v>
      </c>
      <c r="D65" s="13">
        <v>7926</v>
      </c>
      <c r="E65" s="56">
        <v>1.1463623893629999E-3</v>
      </c>
      <c r="I65" s="13"/>
      <c r="J65" t="s">
        <v>352</v>
      </c>
      <c r="K65" t="s">
        <v>195</v>
      </c>
      <c r="L65" s="6">
        <v>7376299.0168000003</v>
      </c>
      <c r="M65">
        <v>8456</v>
      </c>
      <c r="N65" s="13">
        <v>8125</v>
      </c>
      <c r="O65" s="56">
        <v>1.1463743512490001E-3</v>
      </c>
      <c r="S65" s="1"/>
      <c r="T65" t="str">
        <f t="shared" si="0"/>
        <v>FY2026</v>
      </c>
      <c r="U65" s="1" t="str">
        <f t="shared" si="1"/>
        <v>W01</v>
      </c>
      <c r="V65" s="12">
        <f t="shared" si="2"/>
        <v>7376299.0168000003</v>
      </c>
      <c r="W65" s="12"/>
      <c r="X65" s="38"/>
      <c r="Y65" s="38">
        <f t="shared" si="3"/>
        <v>1.1463743512490001E-3</v>
      </c>
      <c r="Z65" s="12"/>
      <c r="AB65" s="12">
        <f t="shared" si="4"/>
        <v>8125</v>
      </c>
      <c r="AC65" s="12"/>
      <c r="AE65" s="1"/>
    </row>
    <row r="66" spans="1:31" x14ac:dyDescent="0.3">
      <c r="B66" t="s">
        <v>79</v>
      </c>
      <c r="C66" s="13">
        <v>7243928</v>
      </c>
      <c r="D66" s="13">
        <v>4187</v>
      </c>
      <c r="E66" s="56">
        <v>5.7800132745699996E-4</v>
      </c>
      <c r="I66" s="13"/>
      <c r="K66" t="s">
        <v>353</v>
      </c>
      <c r="L66" s="6">
        <v>7116628.4817000004</v>
      </c>
      <c r="M66">
        <v>4113</v>
      </c>
      <c r="N66" s="13">
        <v>4036</v>
      </c>
      <c r="O66" s="56">
        <v>5.7794221105900005E-4</v>
      </c>
      <c r="S66" s="1"/>
      <c r="T66" t="str">
        <f t="shared" si="0"/>
        <v/>
      </c>
      <c r="U66" s="1" t="str">
        <f t="shared" si="1"/>
        <v>W02</v>
      </c>
      <c r="V66" s="12">
        <f t="shared" si="2"/>
        <v>7116628.4817000004</v>
      </c>
      <c r="W66" s="12"/>
      <c r="X66" s="38"/>
      <c r="Y66" s="38">
        <f t="shared" si="3"/>
        <v>5.7794221105900005E-4</v>
      </c>
      <c r="Z66" s="12"/>
      <c r="AB66" s="12">
        <f t="shared" si="4"/>
        <v>4036</v>
      </c>
      <c r="AC66" s="12"/>
      <c r="AE66" s="1"/>
    </row>
    <row r="67" spans="1:31" x14ac:dyDescent="0.3">
      <c r="B67" t="s">
        <v>354</v>
      </c>
      <c r="C67" s="13">
        <v>6129057</v>
      </c>
      <c r="D67" s="13">
        <v>5497</v>
      </c>
      <c r="E67" s="56">
        <v>8.9687532682400004E-4</v>
      </c>
      <c r="I67" s="13"/>
      <c r="K67" t="s">
        <v>112</v>
      </c>
      <c r="L67" s="6">
        <v>7120320.7666999996</v>
      </c>
      <c r="M67">
        <v>6386</v>
      </c>
      <c r="N67" s="13">
        <v>6454</v>
      </c>
      <c r="O67" s="56">
        <v>8.9686970703100005E-4</v>
      </c>
      <c r="S67" s="1"/>
      <c r="T67" t="str">
        <f t="shared" si="0"/>
        <v/>
      </c>
      <c r="U67" s="1" t="str">
        <f t="shared" si="1"/>
        <v>W03</v>
      </c>
      <c r="V67" s="12">
        <f t="shared" si="2"/>
        <v>7120320.7666999996</v>
      </c>
      <c r="W67" s="12"/>
      <c r="X67" s="38"/>
      <c r="Y67" s="38">
        <f t="shared" si="3"/>
        <v>8.9686970703100005E-4</v>
      </c>
      <c r="Z67" s="12"/>
      <c r="AB67" s="12">
        <f t="shared" si="4"/>
        <v>6454</v>
      </c>
      <c r="AC67" s="12"/>
      <c r="AE67" s="1"/>
    </row>
    <row r="68" spans="1:31" x14ac:dyDescent="0.3">
      <c r="B68" t="s">
        <v>46</v>
      </c>
      <c r="C68" s="13">
        <v>7126592</v>
      </c>
      <c r="D68" s="13">
        <v>4650</v>
      </c>
      <c r="E68" s="56">
        <v>6.5248578843900003E-4</v>
      </c>
      <c r="I68" s="13"/>
      <c r="K68" t="s">
        <v>172</v>
      </c>
      <c r="L68" s="6">
        <v>6669592.6904999996</v>
      </c>
      <c r="M68">
        <v>4351</v>
      </c>
      <c r="N68" s="13">
        <v>4384</v>
      </c>
      <c r="O68" s="56">
        <v>6.5236367525099996E-4</v>
      </c>
      <c r="S68" s="1"/>
      <c r="T68" t="str">
        <f t="shared" si="0"/>
        <v/>
      </c>
      <c r="U68" s="1" t="str">
        <f t="shared" si="1"/>
        <v>W04</v>
      </c>
      <c r="V68" s="12">
        <f t="shared" si="2"/>
        <v>6669592.6904999996</v>
      </c>
      <c r="W68" s="12"/>
      <c r="X68" s="38"/>
      <c r="Y68" s="38">
        <f t="shared" si="3"/>
        <v>6.5236367525099996E-4</v>
      </c>
      <c r="Z68" s="12"/>
      <c r="AB68" s="12">
        <f t="shared" si="4"/>
        <v>4384</v>
      </c>
      <c r="AC68" s="12"/>
      <c r="AE68" s="1"/>
    </row>
    <row r="69" spans="1:31" x14ac:dyDescent="0.3">
      <c r="B69" t="s">
        <v>355</v>
      </c>
      <c r="C69" s="13">
        <v>6693291</v>
      </c>
      <c r="D69" s="13">
        <v>5284</v>
      </c>
      <c r="E69" s="56">
        <v>7.8944722409299999E-4</v>
      </c>
      <c r="I69" s="13"/>
      <c r="K69" t="s">
        <v>114</v>
      </c>
      <c r="L69" s="6">
        <v>6833745.4621000001</v>
      </c>
      <c r="M69">
        <v>5394</v>
      </c>
      <c r="N69" s="13">
        <v>5262</v>
      </c>
      <c r="O69" s="56">
        <v>7.8931824866999996E-4</v>
      </c>
      <c r="S69" s="1"/>
      <c r="T69" t="str">
        <f t="shared" si="0"/>
        <v/>
      </c>
      <c r="U69" s="1" t="str">
        <f t="shared" si="1"/>
        <v>W05</v>
      </c>
      <c r="V69" s="12">
        <f t="shared" si="2"/>
        <v>6833745.4621000001</v>
      </c>
      <c r="W69" s="12"/>
      <c r="X69" s="38"/>
      <c r="Y69" s="38">
        <f t="shared" si="3"/>
        <v>7.8931824866999996E-4</v>
      </c>
      <c r="Z69" s="12"/>
      <c r="AB69" s="12">
        <f t="shared" si="4"/>
        <v>5262</v>
      </c>
      <c r="AC69" s="12"/>
      <c r="AE69" s="1"/>
    </row>
    <row r="70" spans="1:31" x14ac:dyDescent="0.3">
      <c r="B70" t="s">
        <v>356</v>
      </c>
      <c r="C70" s="13">
        <v>7482591</v>
      </c>
      <c r="D70" s="13">
        <v>5969</v>
      </c>
      <c r="E70" s="56">
        <v>7.9771833045499995E-4</v>
      </c>
      <c r="I70" s="13"/>
      <c r="K70" t="s">
        <v>215</v>
      </c>
      <c r="L70" s="6">
        <v>6453902.9622</v>
      </c>
      <c r="M70">
        <v>5149</v>
      </c>
      <c r="N70" s="13">
        <v>5368</v>
      </c>
      <c r="O70" s="56">
        <v>7.97811809405E-4</v>
      </c>
      <c r="S70" s="1"/>
      <c r="T70" t="str">
        <f t="shared" si="0"/>
        <v/>
      </c>
      <c r="U70" s="1" t="str">
        <f t="shared" si="1"/>
        <v>W06</v>
      </c>
      <c r="V70" s="12">
        <f t="shared" si="2"/>
        <v>6453902.9622</v>
      </c>
      <c r="W70" s="12"/>
      <c r="X70" s="38"/>
      <c r="Y70" s="38">
        <f t="shared" si="3"/>
        <v>7.97811809405E-4</v>
      </c>
      <c r="Z70" s="12"/>
      <c r="AB70" s="12">
        <f t="shared" si="4"/>
        <v>5368</v>
      </c>
      <c r="AC70" s="12"/>
      <c r="AE70" s="1"/>
    </row>
    <row r="71" spans="1:31" x14ac:dyDescent="0.3">
      <c r="B71" t="s">
        <v>216</v>
      </c>
      <c r="C71" s="13">
        <v>6719586</v>
      </c>
      <c r="D71" s="13">
        <v>5319</v>
      </c>
      <c r="E71" s="56">
        <v>7.9156662330099996E-4</v>
      </c>
      <c r="I71" s="13"/>
      <c r="K71" t="s">
        <v>254</v>
      </c>
      <c r="L71" s="6">
        <v>7251195.8899999997</v>
      </c>
      <c r="M71">
        <v>5740</v>
      </c>
      <c r="N71" s="13">
        <v>5762</v>
      </c>
      <c r="O71" s="56">
        <v>7.9159356430000001E-4</v>
      </c>
      <c r="S71" s="1"/>
      <c r="T71" t="str">
        <f t="shared" si="0"/>
        <v/>
      </c>
      <c r="U71" s="1" t="str">
        <f t="shared" si="1"/>
        <v>W07</v>
      </c>
      <c r="V71" s="12">
        <f t="shared" si="2"/>
        <v>7251195.8899999997</v>
      </c>
      <c r="W71" s="12"/>
      <c r="X71" s="38"/>
      <c r="Y71" s="38">
        <f t="shared" si="3"/>
        <v>7.9159356430000001E-4</v>
      </c>
      <c r="Z71" s="12"/>
      <c r="AB71" s="12">
        <f t="shared" si="4"/>
        <v>5762</v>
      </c>
      <c r="AC71" s="12"/>
      <c r="AE71" s="1"/>
    </row>
    <row r="72" spans="1:31" x14ac:dyDescent="0.3">
      <c r="B72" t="s">
        <v>60</v>
      </c>
      <c r="C72" s="13">
        <v>6704665</v>
      </c>
      <c r="D72" s="13">
        <v>5048</v>
      </c>
      <c r="E72" s="56">
        <v>7.5290860915500004E-4</v>
      </c>
      <c r="I72" s="13"/>
      <c r="K72" t="s">
        <v>71</v>
      </c>
      <c r="L72" s="6">
        <v>6658904.4983000001</v>
      </c>
      <c r="M72">
        <v>5013</v>
      </c>
      <c r="N72" s="13">
        <v>5099</v>
      </c>
      <c r="O72" s="56">
        <v>7.5282653494699995E-4</v>
      </c>
      <c r="S72" s="1"/>
      <c r="T72" t="str">
        <f t="shared" si="0"/>
        <v/>
      </c>
      <c r="U72" s="1" t="str">
        <f t="shared" si="1"/>
        <v>W08</v>
      </c>
      <c r="V72" s="12">
        <f t="shared" si="2"/>
        <v>6658904.4983000001</v>
      </c>
      <c r="W72" s="12"/>
      <c r="X72" s="38"/>
      <c r="Y72" s="38">
        <f t="shared" si="3"/>
        <v>7.5282653494699995E-4</v>
      </c>
      <c r="Z72" s="12"/>
      <c r="AB72" s="12">
        <f t="shared" si="4"/>
        <v>5099</v>
      </c>
      <c r="AC72" s="12"/>
      <c r="AE72" s="1"/>
    </row>
    <row r="73" spans="1:31" x14ac:dyDescent="0.3">
      <c r="B73" t="s">
        <v>163</v>
      </c>
      <c r="C73" s="13">
        <v>6885461</v>
      </c>
      <c r="D73" s="13">
        <v>3840</v>
      </c>
      <c r="E73" s="56">
        <v>5.5769686299899995E-4</v>
      </c>
      <c r="I73" s="13"/>
      <c r="K73" t="s">
        <v>65</v>
      </c>
      <c r="L73" s="6">
        <v>6358803.3459000001</v>
      </c>
      <c r="M73">
        <v>3546</v>
      </c>
      <c r="N73" s="13">
        <v>3498</v>
      </c>
      <c r="O73" s="56">
        <v>5.5765209381499999E-4</v>
      </c>
      <c r="S73" s="1"/>
      <c r="T73" t="str">
        <f t="shared" si="0"/>
        <v/>
      </c>
      <c r="U73" s="1" t="str">
        <f t="shared" si="1"/>
        <v>W09</v>
      </c>
      <c r="V73" s="12">
        <f t="shared" si="2"/>
        <v>6358803.3459000001</v>
      </c>
      <c r="W73" s="12"/>
      <c r="X73" s="38"/>
      <c r="Y73" s="38">
        <f t="shared" si="3"/>
        <v>5.5765209381499999E-4</v>
      </c>
      <c r="Z73" s="12"/>
      <c r="AB73" s="12">
        <f t="shared" si="4"/>
        <v>3498</v>
      </c>
      <c r="AC73" s="12"/>
      <c r="AE73" s="1"/>
    </row>
    <row r="74" spans="1:31" x14ac:dyDescent="0.3">
      <c r="B74" t="s">
        <v>159</v>
      </c>
      <c r="C74" s="13">
        <v>6915836</v>
      </c>
      <c r="D74" s="13">
        <v>6920</v>
      </c>
      <c r="E74" s="56">
        <v>1.0006020964059999E-3</v>
      </c>
      <c r="I74" s="13"/>
      <c r="K74" t="s">
        <v>86</v>
      </c>
      <c r="L74" s="6">
        <v>6356203.8704000004</v>
      </c>
      <c r="M74">
        <v>6360</v>
      </c>
      <c r="N74" s="13">
        <v>6252</v>
      </c>
      <c r="O74" s="56">
        <v>1.0005972321969999E-3</v>
      </c>
      <c r="S74" s="1"/>
      <c r="T74" t="str">
        <f t="shared" si="0"/>
        <v/>
      </c>
      <c r="U74" s="1" t="str">
        <f t="shared" si="1"/>
        <v>W10</v>
      </c>
      <c r="V74" s="12">
        <f t="shared" si="2"/>
        <v>6356203.8704000004</v>
      </c>
      <c r="W74" s="12"/>
      <c r="X74" s="38"/>
      <c r="Y74" s="38">
        <f t="shared" si="3"/>
        <v>1.0005972321969999E-3</v>
      </c>
      <c r="Z74" s="12"/>
      <c r="AB74" s="12">
        <f t="shared" si="4"/>
        <v>6252</v>
      </c>
      <c r="AC74" s="12"/>
      <c r="AE74" s="1"/>
    </row>
    <row r="75" spans="1:31" x14ac:dyDescent="0.3">
      <c r="B75" t="s">
        <v>284</v>
      </c>
      <c r="C75" s="13">
        <v>7135843</v>
      </c>
      <c r="D75" s="13">
        <v>6382</v>
      </c>
      <c r="E75" s="56">
        <v>8.9435824190600005E-4</v>
      </c>
      <c r="I75" s="13"/>
      <c r="K75" t="s">
        <v>174</v>
      </c>
      <c r="L75" s="6">
        <v>6761285.1571000004</v>
      </c>
      <c r="M75">
        <v>6047</v>
      </c>
      <c r="N75" s="13">
        <v>5934</v>
      </c>
      <c r="O75" s="56">
        <v>8.9435659930000005E-4</v>
      </c>
      <c r="S75" s="1"/>
      <c r="T75" t="str">
        <f t="shared" si="0"/>
        <v/>
      </c>
      <c r="U75" s="1" t="str">
        <f t="shared" si="1"/>
        <v>W11</v>
      </c>
      <c r="V75" s="12">
        <f t="shared" si="2"/>
        <v>6761285.1571000004</v>
      </c>
      <c r="W75" s="12"/>
      <c r="X75" s="38"/>
      <c r="Y75" s="38">
        <f t="shared" si="3"/>
        <v>8.9435659930000005E-4</v>
      </c>
      <c r="Z75" s="12"/>
      <c r="AB75" s="12">
        <f t="shared" si="4"/>
        <v>5934</v>
      </c>
      <c r="AC75" s="12"/>
      <c r="AE75" s="1"/>
    </row>
    <row r="76" spans="1:31" x14ac:dyDescent="0.3">
      <c r="B76" t="s">
        <v>145</v>
      </c>
      <c r="C76" s="13">
        <v>7607196</v>
      </c>
      <c r="D76" s="13">
        <v>7137</v>
      </c>
      <c r="E76" s="56">
        <v>9.3819062897799999E-4</v>
      </c>
      <c r="I76" s="13"/>
      <c r="K76" t="s">
        <v>357</v>
      </c>
      <c r="L76" s="6">
        <v>6851229.9442999996</v>
      </c>
      <c r="M76">
        <v>6428</v>
      </c>
      <c r="N76" s="13">
        <v>6300</v>
      </c>
      <c r="O76" s="56">
        <v>9.3822569848900003E-4</v>
      </c>
      <c r="S76" s="1"/>
      <c r="T76" t="str">
        <f t="shared" si="0"/>
        <v/>
      </c>
      <c r="U76" s="1" t="str">
        <f t="shared" si="1"/>
        <v>W12</v>
      </c>
      <c r="V76" s="12">
        <f t="shared" si="2"/>
        <v>6851229.9442999996</v>
      </c>
      <c r="W76" s="12"/>
      <c r="X76" s="38"/>
      <c r="Y76" s="38">
        <f t="shared" si="3"/>
        <v>9.3822569848900003E-4</v>
      </c>
      <c r="Z76" s="12"/>
      <c r="AB76" s="12">
        <f t="shared" si="4"/>
        <v>6300</v>
      </c>
      <c r="AC76" s="12"/>
      <c r="AE76" s="1"/>
    </row>
    <row r="77" spans="1:31" x14ac:dyDescent="0.3">
      <c r="B77" t="s">
        <v>358</v>
      </c>
      <c r="C77" s="13">
        <v>7277025</v>
      </c>
      <c r="D77" s="13">
        <v>4400</v>
      </c>
      <c r="E77" s="56">
        <v>6.0464269395799997E-4</v>
      </c>
      <c r="I77" s="13"/>
      <c r="K77" t="s">
        <v>359</v>
      </c>
      <c r="L77" s="6">
        <v>6302914.6476999996</v>
      </c>
      <c r="M77">
        <v>3811</v>
      </c>
      <c r="N77" s="13">
        <v>3738</v>
      </c>
      <c r="O77" s="56">
        <v>6.04640902347E-4</v>
      </c>
      <c r="S77" s="1"/>
      <c r="T77" t="str">
        <f t="shared" ref="T77:T140" si="5">IF(J77=0,"",J77)</f>
        <v/>
      </c>
      <c r="U77" s="1" t="str">
        <f t="shared" ref="U77:U140" si="6">RIGHT(K77,3)</f>
        <v>W13</v>
      </c>
      <c r="V77" s="12">
        <f t="shared" ref="V77:V101" si="7">L77</f>
        <v>6302914.6476999996</v>
      </c>
      <c r="W77" s="12"/>
      <c r="X77" s="38"/>
      <c r="Y77" s="38">
        <f t="shared" ref="Y77:Y99" si="8">O77</f>
        <v>6.04640902347E-4</v>
      </c>
      <c r="Z77" s="12"/>
      <c r="AB77" s="12">
        <f t="shared" ref="AB77:AB99" si="9">N77</f>
        <v>3738</v>
      </c>
      <c r="AC77" s="12"/>
      <c r="AE77" s="1"/>
    </row>
    <row r="78" spans="1:31" x14ac:dyDescent="0.3">
      <c r="B78" t="s">
        <v>273</v>
      </c>
      <c r="C78" s="13">
        <v>6745153</v>
      </c>
      <c r="D78" s="13">
        <v>4535</v>
      </c>
      <c r="E78" s="56">
        <v>6.7233463792399999E-4</v>
      </c>
      <c r="I78" s="13"/>
      <c r="K78" t="s">
        <v>170</v>
      </c>
      <c r="L78" s="6">
        <v>6820825.6977000004</v>
      </c>
      <c r="M78">
        <v>4586</v>
      </c>
      <c r="N78" s="13">
        <v>4492</v>
      </c>
      <c r="O78" s="56">
        <v>6.7235261583500005E-4</v>
      </c>
      <c r="S78" s="1"/>
      <c r="T78" t="str">
        <f t="shared" si="5"/>
        <v/>
      </c>
      <c r="U78" s="1" t="str">
        <f t="shared" si="6"/>
        <v>W14</v>
      </c>
      <c r="V78" s="12">
        <f t="shared" si="7"/>
        <v>6820825.6977000004</v>
      </c>
      <c r="W78" s="12"/>
      <c r="X78" s="38"/>
      <c r="Y78" s="38">
        <f t="shared" si="8"/>
        <v>6.7235261583500005E-4</v>
      </c>
      <c r="Z78" s="12"/>
      <c r="AB78" s="12">
        <f t="shared" si="9"/>
        <v>4492</v>
      </c>
      <c r="AC78" s="12"/>
      <c r="AE78" s="1"/>
    </row>
    <row r="79" spans="1:31" x14ac:dyDescent="0.3">
      <c r="B79" t="s">
        <v>360</v>
      </c>
      <c r="C79" s="13">
        <v>7374818</v>
      </c>
      <c r="D79" s="13">
        <v>6511</v>
      </c>
      <c r="E79" s="56">
        <v>8.8286924504399995E-4</v>
      </c>
      <c r="I79" s="13"/>
      <c r="K79" t="s">
        <v>55</v>
      </c>
      <c r="L79" s="6">
        <v>6144076.9949000003</v>
      </c>
      <c r="M79">
        <v>5424</v>
      </c>
      <c r="N79" s="13">
        <v>5222</v>
      </c>
      <c r="O79" s="56">
        <v>8.8280143697800002E-4</v>
      </c>
      <c r="S79" s="1"/>
      <c r="T79" t="str">
        <f t="shared" si="5"/>
        <v/>
      </c>
      <c r="U79" s="1" t="str">
        <f t="shared" si="6"/>
        <v>W15</v>
      </c>
      <c r="V79" s="12">
        <f t="shared" si="7"/>
        <v>6144076.9949000003</v>
      </c>
      <c r="W79" s="12"/>
      <c r="X79" s="38"/>
      <c r="Y79" s="38">
        <f t="shared" si="8"/>
        <v>8.8280143697800002E-4</v>
      </c>
      <c r="Z79" s="12"/>
      <c r="AB79" s="12">
        <f t="shared" si="9"/>
        <v>5222</v>
      </c>
      <c r="AC79" s="12"/>
      <c r="AE79" s="1"/>
    </row>
    <row r="80" spans="1:31" x14ac:dyDescent="0.3">
      <c r="B80" t="s">
        <v>260</v>
      </c>
      <c r="C80" s="13">
        <v>7119104</v>
      </c>
      <c r="D80" s="13">
        <v>3470</v>
      </c>
      <c r="E80" s="56">
        <v>4.8742088892099998E-4</v>
      </c>
      <c r="I80" s="13"/>
      <c r="K80" t="s">
        <v>240</v>
      </c>
      <c r="L80" s="6">
        <v>6907135.9979999997</v>
      </c>
      <c r="M80">
        <v>3366</v>
      </c>
      <c r="N80" s="13">
        <v>3426</v>
      </c>
      <c r="O80" s="56">
        <v>4.8732209717199999E-4</v>
      </c>
      <c r="S80" s="1"/>
      <c r="T80" t="str">
        <f t="shared" si="5"/>
        <v/>
      </c>
      <c r="U80" s="1" t="str">
        <f t="shared" si="6"/>
        <v>W16</v>
      </c>
      <c r="V80" s="12">
        <f t="shared" si="7"/>
        <v>6907135.9979999997</v>
      </c>
      <c r="W80" s="12"/>
      <c r="X80" s="38"/>
      <c r="Y80" s="38">
        <f t="shared" si="8"/>
        <v>4.8732209717199999E-4</v>
      </c>
      <c r="Z80" s="12"/>
      <c r="AB80" s="12">
        <f t="shared" si="9"/>
        <v>3426</v>
      </c>
      <c r="AC80" s="12"/>
      <c r="AE80" s="1"/>
    </row>
    <row r="81" spans="2:31" x14ac:dyDescent="0.3">
      <c r="B81" t="s">
        <v>218</v>
      </c>
      <c r="C81" s="13">
        <v>7297577</v>
      </c>
      <c r="D81" s="13">
        <v>7084</v>
      </c>
      <c r="E81" s="56">
        <v>9.7073316252799995E-4</v>
      </c>
      <c r="I81" s="13"/>
      <c r="K81" t="s">
        <v>361</v>
      </c>
      <c r="L81" s="6">
        <v>6943668.8011999996</v>
      </c>
      <c r="M81">
        <v>6740</v>
      </c>
      <c r="N81" s="13">
        <v>7011</v>
      </c>
      <c r="O81" s="56">
        <v>9.7066841650599999E-4</v>
      </c>
      <c r="S81" s="1"/>
      <c r="T81" t="str">
        <f t="shared" si="5"/>
        <v/>
      </c>
      <c r="U81" s="1" t="str">
        <f t="shared" si="6"/>
        <v>W17</v>
      </c>
      <c r="V81" s="12">
        <f t="shared" si="7"/>
        <v>6943668.8011999996</v>
      </c>
      <c r="W81" s="12"/>
      <c r="X81" s="38"/>
      <c r="Y81" s="38">
        <f t="shared" si="8"/>
        <v>9.7066841650599999E-4</v>
      </c>
      <c r="Z81" s="12"/>
      <c r="AB81" s="12">
        <f t="shared" si="9"/>
        <v>7011</v>
      </c>
      <c r="AC81" s="12"/>
      <c r="AE81" s="1"/>
    </row>
    <row r="82" spans="2:31" x14ac:dyDescent="0.3">
      <c r="B82" t="s">
        <v>126</v>
      </c>
      <c r="C82" s="13">
        <v>6787364</v>
      </c>
      <c r="D82" s="13">
        <v>4785</v>
      </c>
      <c r="E82" s="56">
        <v>7.0498650138699995E-4</v>
      </c>
      <c r="I82" s="13"/>
      <c r="K82" t="s">
        <v>69</v>
      </c>
      <c r="L82" s="6">
        <v>6525231.79</v>
      </c>
      <c r="M82">
        <v>4601</v>
      </c>
      <c r="N82" s="13">
        <v>4623</v>
      </c>
      <c r="O82" s="56">
        <v>7.05109051766E-4</v>
      </c>
      <c r="S82" s="1"/>
      <c r="T82" t="str">
        <f t="shared" si="5"/>
        <v/>
      </c>
      <c r="U82" s="1" t="str">
        <f t="shared" si="6"/>
        <v>W18</v>
      </c>
      <c r="V82" s="12">
        <f t="shared" si="7"/>
        <v>6525231.79</v>
      </c>
      <c r="W82" s="12"/>
      <c r="X82" s="38"/>
      <c r="Y82" s="38">
        <f t="shared" si="8"/>
        <v>7.05109051766E-4</v>
      </c>
      <c r="Z82" s="12"/>
      <c r="AB82" s="12">
        <f t="shared" si="9"/>
        <v>4623</v>
      </c>
      <c r="AC82" s="12"/>
      <c r="AE82" s="1"/>
    </row>
    <row r="83" spans="2:31" x14ac:dyDescent="0.3">
      <c r="B83" t="s">
        <v>85</v>
      </c>
      <c r="C83" s="13">
        <v>6340374</v>
      </c>
      <c r="D83" s="13">
        <v>4538</v>
      </c>
      <c r="E83" s="56">
        <v>7.1573064932800004E-4</v>
      </c>
      <c r="I83" s="13"/>
      <c r="K83" t="s">
        <v>362</v>
      </c>
      <c r="L83" s="6">
        <v>6757885.2702000001</v>
      </c>
      <c r="M83">
        <v>4837</v>
      </c>
      <c r="N83" s="13">
        <v>4595</v>
      </c>
      <c r="O83" s="56">
        <v>7.1575645436399999E-4</v>
      </c>
      <c r="S83" s="1"/>
      <c r="T83" t="str">
        <f t="shared" si="5"/>
        <v/>
      </c>
      <c r="U83" s="1" t="str">
        <f t="shared" si="6"/>
        <v>W19</v>
      </c>
      <c r="V83" s="12">
        <f t="shared" si="7"/>
        <v>6757885.2702000001</v>
      </c>
      <c r="W83" s="12"/>
      <c r="X83" s="38"/>
      <c r="Y83" s="38">
        <f t="shared" si="8"/>
        <v>7.1575645436399999E-4</v>
      </c>
      <c r="Z83" s="12"/>
      <c r="AB83" s="12">
        <f t="shared" si="9"/>
        <v>4595</v>
      </c>
      <c r="AC83" s="12"/>
      <c r="AE83" s="1"/>
    </row>
    <row r="84" spans="2:31" x14ac:dyDescent="0.3">
      <c r="B84" t="s">
        <v>363</v>
      </c>
      <c r="C84" s="13">
        <v>6690811</v>
      </c>
      <c r="D84" s="13">
        <v>5108</v>
      </c>
      <c r="E84" s="56">
        <v>7.63435105251E-4</v>
      </c>
      <c r="I84" s="13"/>
      <c r="K84" t="s">
        <v>158</v>
      </c>
      <c r="L84" s="6">
        <v>7363174.4331</v>
      </c>
      <c r="M84">
        <v>5621</v>
      </c>
      <c r="N84" s="13">
        <v>5666</v>
      </c>
      <c r="O84" s="56">
        <v>7.6339356768899999E-4</v>
      </c>
      <c r="S84" s="1"/>
      <c r="T84" t="str">
        <f t="shared" si="5"/>
        <v/>
      </c>
      <c r="U84" s="1" t="str">
        <f t="shared" si="6"/>
        <v>W20</v>
      </c>
      <c r="V84" s="12">
        <f t="shared" si="7"/>
        <v>7363174.4331</v>
      </c>
      <c r="W84" s="12"/>
      <c r="X84" s="38"/>
      <c r="Y84" s="38">
        <f t="shared" si="8"/>
        <v>7.6339356768899999E-4</v>
      </c>
      <c r="Z84" s="12"/>
      <c r="AB84" s="12">
        <f t="shared" si="9"/>
        <v>5666</v>
      </c>
      <c r="AC84" s="12"/>
      <c r="AE84" s="1"/>
    </row>
    <row r="85" spans="2:31" x14ac:dyDescent="0.3">
      <c r="B85" t="s">
        <v>364</v>
      </c>
      <c r="C85" s="13">
        <v>6537993</v>
      </c>
      <c r="D85" s="13">
        <v>6242</v>
      </c>
      <c r="E85" s="56">
        <v>9.5472723816000002E-4</v>
      </c>
      <c r="I85" s="13"/>
      <c r="K85" t="s">
        <v>228</v>
      </c>
      <c r="L85" s="6">
        <v>6786300.6842999998</v>
      </c>
      <c r="M85">
        <v>6479</v>
      </c>
      <c r="N85" s="13">
        <v>6579</v>
      </c>
      <c r="O85" s="56">
        <v>9.5471749652800003E-4</v>
      </c>
      <c r="S85" s="1"/>
      <c r="T85" t="str">
        <f t="shared" si="5"/>
        <v/>
      </c>
      <c r="U85" s="1" t="str">
        <f t="shared" si="6"/>
        <v>W21</v>
      </c>
      <c r="V85" s="12">
        <f t="shared" si="7"/>
        <v>6786300.6842999998</v>
      </c>
      <c r="W85" s="12"/>
      <c r="X85" s="38"/>
      <c r="Y85" s="38">
        <f t="shared" si="8"/>
        <v>9.5471749652800003E-4</v>
      </c>
      <c r="Z85" s="12"/>
      <c r="AB85" s="12">
        <f t="shared" si="9"/>
        <v>6579</v>
      </c>
      <c r="AC85" s="12"/>
      <c r="AE85" s="1"/>
    </row>
    <row r="86" spans="2:31" x14ac:dyDescent="0.3">
      <c r="B86" t="s">
        <v>238</v>
      </c>
      <c r="C86" s="13">
        <v>6204216</v>
      </c>
      <c r="D86" s="13">
        <v>3982</v>
      </c>
      <c r="E86" s="56">
        <v>6.4182162581100002E-4</v>
      </c>
      <c r="I86" s="13"/>
      <c r="K86" t="s">
        <v>365</v>
      </c>
      <c r="L86" s="6">
        <v>6536917.3587999996</v>
      </c>
      <c r="M86">
        <v>4196</v>
      </c>
      <c r="N86" s="13">
        <v>4076</v>
      </c>
      <c r="O86" s="56">
        <v>6.4189277142300005E-4</v>
      </c>
      <c r="S86" s="1"/>
      <c r="T86" t="str">
        <f t="shared" si="5"/>
        <v/>
      </c>
      <c r="U86" s="1" t="str">
        <f t="shared" si="6"/>
        <v>W22</v>
      </c>
      <c r="V86" s="12">
        <f t="shared" si="7"/>
        <v>6536917.3587999996</v>
      </c>
      <c r="W86" s="12"/>
      <c r="X86" s="38"/>
      <c r="Y86" s="38">
        <f t="shared" si="8"/>
        <v>6.4189277142300005E-4</v>
      </c>
      <c r="Z86" s="12"/>
      <c r="AB86" s="12">
        <f t="shared" si="9"/>
        <v>4076</v>
      </c>
      <c r="AC86" s="12"/>
      <c r="AE86" s="1"/>
    </row>
    <row r="87" spans="2:31" x14ac:dyDescent="0.3">
      <c r="B87" t="s">
        <v>150</v>
      </c>
      <c r="C87" s="13">
        <v>6804031</v>
      </c>
      <c r="D87" s="13">
        <v>5684</v>
      </c>
      <c r="E87" s="56">
        <v>8.3538714035800001E-4</v>
      </c>
      <c r="I87" s="13"/>
      <c r="K87" t="s">
        <v>162</v>
      </c>
      <c r="L87" s="6">
        <v>6915309.1486999998</v>
      </c>
      <c r="M87">
        <v>5777</v>
      </c>
      <c r="N87" s="13">
        <v>5762</v>
      </c>
      <c r="O87" s="56">
        <v>8.3539287626599999E-4</v>
      </c>
      <c r="S87" s="1"/>
      <c r="T87" t="str">
        <f t="shared" si="5"/>
        <v/>
      </c>
      <c r="U87" s="1" t="str">
        <f t="shared" si="6"/>
        <v>W23</v>
      </c>
      <c r="V87" s="12">
        <f t="shared" si="7"/>
        <v>6915309.1486999998</v>
      </c>
      <c r="W87" s="12"/>
      <c r="X87" s="38"/>
      <c r="Y87" s="38">
        <f t="shared" si="8"/>
        <v>8.3539287626599999E-4</v>
      </c>
      <c r="Z87" s="12"/>
      <c r="AB87" s="12">
        <f t="shared" si="9"/>
        <v>5762</v>
      </c>
      <c r="AC87" s="12"/>
      <c r="AE87" s="1"/>
    </row>
    <row r="88" spans="2:31" x14ac:dyDescent="0.3">
      <c r="B88" t="s">
        <v>366</v>
      </c>
      <c r="C88" s="13">
        <v>7195730</v>
      </c>
      <c r="D88" s="13">
        <v>7322</v>
      </c>
      <c r="E88" s="56">
        <v>1.0175479068839999E-3</v>
      </c>
      <c r="I88" s="13"/>
      <c r="K88" t="s">
        <v>192</v>
      </c>
      <c r="L88" s="6">
        <v>6625830.7315999996</v>
      </c>
      <c r="M88">
        <v>6742</v>
      </c>
      <c r="N88" s="13">
        <v>6519</v>
      </c>
      <c r="O88" s="56">
        <v>1.0175327854130001E-3</v>
      </c>
      <c r="S88" s="1"/>
      <c r="T88" t="str">
        <f t="shared" si="5"/>
        <v/>
      </c>
      <c r="U88" s="1" t="str">
        <f t="shared" si="6"/>
        <v>W24</v>
      </c>
      <c r="V88" s="12">
        <f t="shared" si="7"/>
        <v>6625830.7315999996</v>
      </c>
      <c r="W88" s="12"/>
      <c r="X88" s="38"/>
      <c r="Y88" s="38">
        <f t="shared" si="8"/>
        <v>1.0175327854130001E-3</v>
      </c>
      <c r="Z88" s="12"/>
      <c r="AB88" s="12">
        <f t="shared" si="9"/>
        <v>6519</v>
      </c>
      <c r="AC88" s="12"/>
      <c r="AE88" s="1"/>
    </row>
    <row r="89" spans="2:31" x14ac:dyDescent="0.3">
      <c r="B89" t="s">
        <v>258</v>
      </c>
      <c r="C89" s="13">
        <v>6329266</v>
      </c>
      <c r="D89" s="13">
        <v>4079</v>
      </c>
      <c r="E89" s="56">
        <v>6.4446651475899997E-4</v>
      </c>
      <c r="I89" s="13"/>
      <c r="K89" t="s">
        <v>251</v>
      </c>
      <c r="L89" s="6">
        <v>6793595.9133000001</v>
      </c>
      <c r="M89">
        <v>4378</v>
      </c>
      <c r="N89" s="13">
        <v>4196</v>
      </c>
      <c r="O89" s="56">
        <v>6.44430439472E-4</v>
      </c>
      <c r="S89" s="1"/>
      <c r="T89" t="str">
        <f t="shared" si="5"/>
        <v/>
      </c>
      <c r="U89" s="1" t="str">
        <f t="shared" si="6"/>
        <v>W25</v>
      </c>
      <c r="V89" s="12">
        <f t="shared" si="7"/>
        <v>6793595.9133000001</v>
      </c>
      <c r="W89" s="12"/>
      <c r="X89" s="38"/>
      <c r="Y89" s="38">
        <f t="shared" si="8"/>
        <v>6.44430439472E-4</v>
      </c>
      <c r="Z89" s="12"/>
      <c r="AB89" s="12">
        <f t="shared" si="9"/>
        <v>4196</v>
      </c>
      <c r="AC89" s="12"/>
      <c r="AE89" s="1"/>
    </row>
    <row r="90" spans="2:31" x14ac:dyDescent="0.3">
      <c r="B90" t="s">
        <v>93</v>
      </c>
      <c r="C90" s="13">
        <v>6858136</v>
      </c>
      <c r="D90" s="13">
        <v>4037</v>
      </c>
      <c r="E90" s="56">
        <v>5.8864391140700002E-4</v>
      </c>
      <c r="I90" s="13"/>
      <c r="K90" t="s">
        <v>212</v>
      </c>
      <c r="L90" s="6">
        <v>6792847.4523</v>
      </c>
      <c r="M90">
        <v>3998</v>
      </c>
      <c r="N90" s="13">
        <v>3932</v>
      </c>
      <c r="O90" s="56">
        <v>5.8856025077499996E-4</v>
      </c>
      <c r="S90" s="1"/>
      <c r="T90" t="str">
        <f t="shared" si="5"/>
        <v/>
      </c>
      <c r="U90" s="1" t="str">
        <f t="shared" si="6"/>
        <v>W26</v>
      </c>
      <c r="V90" s="12">
        <f t="shared" si="7"/>
        <v>6792847.4523</v>
      </c>
      <c r="W90" s="12"/>
      <c r="X90" s="38"/>
      <c r="Y90" s="38">
        <f t="shared" si="8"/>
        <v>5.8856025077499996E-4</v>
      </c>
      <c r="Z90" s="12"/>
      <c r="AB90" s="12">
        <f t="shared" si="9"/>
        <v>3932</v>
      </c>
      <c r="AC90" s="12"/>
      <c r="AE90" s="1"/>
    </row>
    <row r="91" spans="2:31" x14ac:dyDescent="0.3">
      <c r="B91" t="s">
        <v>118</v>
      </c>
      <c r="C91" s="13">
        <v>6423312</v>
      </c>
      <c r="D91" s="13">
        <v>5006</v>
      </c>
      <c r="E91" s="56">
        <v>7.7934872227899998E-4</v>
      </c>
      <c r="I91" s="13"/>
      <c r="K91" t="s">
        <v>204</v>
      </c>
      <c r="L91" s="6">
        <v>6977432.0122999996</v>
      </c>
      <c r="M91">
        <v>5438</v>
      </c>
      <c r="N91" s="13">
        <v>5611</v>
      </c>
      <c r="O91" s="56">
        <v>7.79369829819E-4</v>
      </c>
      <c r="S91" s="1"/>
      <c r="T91" t="str">
        <f t="shared" si="5"/>
        <v/>
      </c>
      <c r="U91" s="1" t="str">
        <f t="shared" si="6"/>
        <v>W27</v>
      </c>
      <c r="V91" s="12">
        <f t="shared" si="7"/>
        <v>6977432.0122999996</v>
      </c>
      <c r="W91" s="12"/>
      <c r="X91" s="38"/>
      <c r="Y91" s="38">
        <f t="shared" si="8"/>
        <v>7.79369829819E-4</v>
      </c>
      <c r="Z91" s="12"/>
      <c r="AB91" s="12">
        <f t="shared" si="9"/>
        <v>5611</v>
      </c>
      <c r="AC91" s="12"/>
      <c r="AE91" s="1"/>
    </row>
    <row r="92" spans="2:31" x14ac:dyDescent="0.3">
      <c r="B92" t="s">
        <v>181</v>
      </c>
      <c r="C92" s="13">
        <v>6678159</v>
      </c>
      <c r="D92" s="13">
        <v>5353</v>
      </c>
      <c r="E92" s="56">
        <v>8.0156821662999997E-4</v>
      </c>
      <c r="I92" s="13"/>
      <c r="K92" t="s">
        <v>47</v>
      </c>
      <c r="L92" s="6">
        <v>6827387.9713000003</v>
      </c>
      <c r="M92">
        <v>5473</v>
      </c>
      <c r="N92" s="13">
        <v>5322</v>
      </c>
      <c r="O92" s="56">
        <v>8.0162428486700002E-4</v>
      </c>
      <c r="S92" s="1"/>
      <c r="T92" t="str">
        <f t="shared" si="5"/>
        <v/>
      </c>
      <c r="U92" s="1" t="str">
        <f t="shared" si="6"/>
        <v>W28</v>
      </c>
      <c r="V92" s="12">
        <f t="shared" si="7"/>
        <v>6827387.9713000003</v>
      </c>
      <c r="W92" s="12"/>
      <c r="X92" s="38"/>
      <c r="Y92" s="38">
        <f t="shared" si="8"/>
        <v>8.0162428486700002E-4</v>
      </c>
      <c r="Z92" s="12"/>
      <c r="AB92" s="12">
        <f t="shared" si="9"/>
        <v>5322</v>
      </c>
      <c r="AC92" s="12"/>
      <c r="AE92" s="1"/>
    </row>
    <row r="93" spans="2:31" x14ac:dyDescent="0.3">
      <c r="B93" t="s">
        <v>183</v>
      </c>
      <c r="C93" s="13">
        <v>7067698</v>
      </c>
      <c r="D93" s="13">
        <v>4070</v>
      </c>
      <c r="E93" s="56">
        <v>5.7585935335699998E-4</v>
      </c>
      <c r="I93" s="13"/>
      <c r="K93" t="s">
        <v>188</v>
      </c>
      <c r="L93" s="6">
        <v>6793519.9696000004</v>
      </c>
      <c r="M93">
        <v>3912</v>
      </c>
      <c r="N93" s="13">
        <v>3794</v>
      </c>
      <c r="O93" s="56">
        <v>5.7584286459799999E-4</v>
      </c>
      <c r="S93" s="1"/>
      <c r="T93" t="str">
        <f t="shared" si="5"/>
        <v/>
      </c>
      <c r="U93" s="1" t="str">
        <f t="shared" si="6"/>
        <v>W29</v>
      </c>
      <c r="V93" s="12">
        <f t="shared" si="7"/>
        <v>6793519.9696000004</v>
      </c>
      <c r="W93" s="12"/>
      <c r="X93" s="38"/>
      <c r="Y93" s="38">
        <f t="shared" si="8"/>
        <v>5.7584286459799999E-4</v>
      </c>
      <c r="Z93" s="12"/>
      <c r="AB93" s="12">
        <f t="shared" si="9"/>
        <v>3794</v>
      </c>
      <c r="AC93" s="12"/>
      <c r="AE93" s="1"/>
    </row>
    <row r="94" spans="2:31" x14ac:dyDescent="0.3">
      <c r="B94" t="s">
        <v>67</v>
      </c>
      <c r="C94" s="13">
        <v>6731819</v>
      </c>
      <c r="D94" s="13">
        <v>6133</v>
      </c>
      <c r="E94" s="56">
        <v>9.1104647941400003E-4</v>
      </c>
      <c r="I94" s="13"/>
      <c r="K94" t="s">
        <v>156</v>
      </c>
      <c r="L94" s="6">
        <v>7296644.5031000003</v>
      </c>
      <c r="M94">
        <v>6648</v>
      </c>
      <c r="N94" s="13">
        <v>6631</v>
      </c>
      <c r="O94" s="56">
        <v>9.1110372681200004E-4</v>
      </c>
      <c r="S94" s="1"/>
      <c r="T94" t="str">
        <f t="shared" si="5"/>
        <v/>
      </c>
      <c r="U94" s="1" t="str">
        <f t="shared" si="6"/>
        <v>W30</v>
      </c>
      <c r="V94" s="12">
        <f t="shared" si="7"/>
        <v>7296644.5031000003</v>
      </c>
      <c r="W94" s="12"/>
      <c r="X94" s="38"/>
      <c r="Y94" s="38">
        <f t="shared" si="8"/>
        <v>9.1110372681200004E-4</v>
      </c>
      <c r="Z94" s="12"/>
      <c r="AB94" s="12">
        <f t="shared" si="9"/>
        <v>6631</v>
      </c>
      <c r="AC94" s="12"/>
      <c r="AE94" s="1"/>
    </row>
    <row r="95" spans="2:31" x14ac:dyDescent="0.3">
      <c r="B95" t="s">
        <v>187</v>
      </c>
      <c r="C95" s="13">
        <v>6708494</v>
      </c>
      <c r="D95" s="13">
        <v>5482</v>
      </c>
      <c r="E95" s="56">
        <v>8.1717297503700005E-4</v>
      </c>
      <c r="I95" s="13"/>
      <c r="K95" t="s">
        <v>202</v>
      </c>
      <c r="L95" s="6">
        <v>6483012.9869999997</v>
      </c>
      <c r="M95">
        <v>5298</v>
      </c>
      <c r="N95" s="13">
        <v>5483</v>
      </c>
      <c r="O95" s="56">
        <v>8.1721261558799995E-4</v>
      </c>
      <c r="S95" s="1"/>
      <c r="T95" t="str">
        <f t="shared" si="5"/>
        <v/>
      </c>
      <c r="U95" s="1" t="str">
        <f t="shared" si="6"/>
        <v>W31</v>
      </c>
      <c r="V95" s="12">
        <f t="shared" si="7"/>
        <v>6483012.9869999997</v>
      </c>
      <c r="W95" s="12"/>
      <c r="X95" s="38"/>
      <c r="Y95" s="38">
        <f t="shared" si="8"/>
        <v>8.1721261558799995E-4</v>
      </c>
      <c r="Z95" s="12"/>
      <c r="AB95" s="12">
        <f t="shared" si="9"/>
        <v>5483</v>
      </c>
      <c r="AC95" s="12"/>
      <c r="AE95" s="1"/>
    </row>
    <row r="96" spans="2:31" x14ac:dyDescent="0.3">
      <c r="B96" t="s">
        <v>367</v>
      </c>
      <c r="C96" s="13">
        <v>6652971</v>
      </c>
      <c r="D96" s="13">
        <v>6249</v>
      </c>
      <c r="E96" s="56">
        <v>9.3927960906500004E-4</v>
      </c>
      <c r="I96" s="13"/>
      <c r="K96" t="s">
        <v>247</v>
      </c>
      <c r="L96" s="6">
        <v>7056398.8427999998</v>
      </c>
      <c r="M96">
        <v>6628</v>
      </c>
      <c r="N96" s="13">
        <v>6714</v>
      </c>
      <c r="O96" s="56">
        <v>9.3928930997999995E-4</v>
      </c>
      <c r="S96" s="1"/>
      <c r="T96" t="str">
        <f t="shared" si="5"/>
        <v/>
      </c>
      <c r="U96" s="1" t="str">
        <f t="shared" si="6"/>
        <v>W32</v>
      </c>
      <c r="V96" s="12">
        <f t="shared" si="7"/>
        <v>7056398.8427999998</v>
      </c>
      <c r="W96" s="12"/>
      <c r="X96" s="38"/>
      <c r="Y96" s="38">
        <f t="shared" si="8"/>
        <v>9.3928930997999995E-4</v>
      </c>
      <c r="Z96" s="12"/>
      <c r="AB96" s="12">
        <f t="shared" si="9"/>
        <v>6714</v>
      </c>
      <c r="AC96" s="12"/>
      <c r="AE96" s="1"/>
    </row>
    <row r="97" spans="2:31" x14ac:dyDescent="0.3">
      <c r="B97" t="s">
        <v>368</v>
      </c>
      <c r="C97" s="13">
        <v>6650088</v>
      </c>
      <c r="D97" s="13">
        <v>5776</v>
      </c>
      <c r="E97" s="56">
        <v>8.6855993484599996E-4</v>
      </c>
      <c r="I97" s="13"/>
      <c r="K97" t="s">
        <v>369</v>
      </c>
      <c r="L97" s="6">
        <v>6734768.5691</v>
      </c>
      <c r="M97">
        <v>5850</v>
      </c>
      <c r="N97" s="13">
        <v>5671</v>
      </c>
      <c r="O97" s="56">
        <v>8.68626730077E-4</v>
      </c>
      <c r="S97" s="1"/>
      <c r="T97" t="str">
        <f t="shared" si="5"/>
        <v/>
      </c>
      <c r="U97" s="1" t="str">
        <f t="shared" si="6"/>
        <v>W33</v>
      </c>
      <c r="V97" s="12">
        <f t="shared" si="7"/>
        <v>6734768.5691</v>
      </c>
      <c r="W97" s="12"/>
      <c r="X97" s="38"/>
      <c r="Y97" s="38">
        <f t="shared" si="8"/>
        <v>8.68626730077E-4</v>
      </c>
      <c r="Z97" s="12"/>
      <c r="AB97" s="12">
        <f t="shared" si="9"/>
        <v>5671</v>
      </c>
      <c r="AC97" s="12"/>
      <c r="AE97" s="1"/>
    </row>
    <row r="98" spans="2:31" x14ac:dyDescent="0.3">
      <c r="B98" t="s">
        <v>122</v>
      </c>
      <c r="C98" s="13">
        <v>7001233</v>
      </c>
      <c r="D98" s="13">
        <v>5195</v>
      </c>
      <c r="E98" s="56">
        <v>7.4201215700099999E-4</v>
      </c>
      <c r="I98" s="13"/>
      <c r="K98" t="s">
        <v>134</v>
      </c>
      <c r="L98" s="6">
        <v>6392391.3547999999</v>
      </c>
      <c r="M98">
        <v>4744</v>
      </c>
      <c r="N98" s="13">
        <v>4623</v>
      </c>
      <c r="O98" s="56">
        <v>7.4213228456900004E-4</v>
      </c>
      <c r="S98" s="54"/>
      <c r="T98" t="str">
        <f t="shared" si="5"/>
        <v/>
      </c>
      <c r="U98" s="1" t="str">
        <f t="shared" si="6"/>
        <v>W34</v>
      </c>
      <c r="V98" s="12">
        <f t="shared" si="7"/>
        <v>6392391.3547999999</v>
      </c>
      <c r="W98" s="12"/>
      <c r="X98" s="38"/>
      <c r="Y98" s="38">
        <f t="shared" si="8"/>
        <v>7.4213228456900004E-4</v>
      </c>
      <c r="Z98" s="12"/>
      <c r="AB98" s="12">
        <f t="shared" si="9"/>
        <v>4623</v>
      </c>
      <c r="AC98" s="12"/>
      <c r="AE98" s="1"/>
    </row>
    <row r="99" spans="2:31" x14ac:dyDescent="0.3">
      <c r="B99" t="s">
        <v>242</v>
      </c>
      <c r="C99" s="13">
        <v>6026768</v>
      </c>
      <c r="D99" s="13">
        <v>3825</v>
      </c>
      <c r="E99" s="56">
        <v>6.3466853212200002E-4</v>
      </c>
      <c r="I99" s="13"/>
      <c r="K99" t="s">
        <v>83</v>
      </c>
      <c r="L99" s="6">
        <v>6670520.3738000002</v>
      </c>
      <c r="M99">
        <v>4234</v>
      </c>
      <c r="N99" s="13">
        <v>4300</v>
      </c>
      <c r="O99" s="56">
        <v>6.3473308868500005E-4</v>
      </c>
      <c r="S99" s="54"/>
      <c r="T99" t="str">
        <f t="shared" si="5"/>
        <v/>
      </c>
      <c r="U99" s="1" t="str">
        <f t="shared" si="6"/>
        <v>W35</v>
      </c>
      <c r="V99" s="12">
        <f t="shared" si="7"/>
        <v>6670520.3738000002</v>
      </c>
      <c r="W99" s="12"/>
      <c r="X99" s="38"/>
      <c r="Y99" s="38">
        <f t="shared" si="8"/>
        <v>6.3473308868500005E-4</v>
      </c>
      <c r="Z99" s="12"/>
      <c r="AB99" s="12">
        <f t="shared" si="9"/>
        <v>4300</v>
      </c>
      <c r="AC99" s="12"/>
      <c r="AE99" s="1"/>
    </row>
    <row r="100" spans="2:31" x14ac:dyDescent="0.3">
      <c r="B100" t="s">
        <v>245</v>
      </c>
      <c r="C100" s="13">
        <v>6649917</v>
      </c>
      <c r="D100" s="13">
        <v>6982</v>
      </c>
      <c r="E100" s="56">
        <v>1.0499379165180001E-3</v>
      </c>
      <c r="I100" s="13"/>
      <c r="K100" t="s">
        <v>370</v>
      </c>
      <c r="L100" s="6">
        <v>6381148.5443000002</v>
      </c>
      <c r="M100">
        <v>6700</v>
      </c>
      <c r="N100" s="13">
        <v>6881</v>
      </c>
      <c r="O100" s="56">
        <v>1.049967721874E-3</v>
      </c>
      <c r="S100" s="1"/>
      <c r="T100" t="str">
        <f t="shared" si="5"/>
        <v/>
      </c>
      <c r="U100" s="1" t="str">
        <f t="shared" si="6"/>
        <v>W36</v>
      </c>
      <c r="V100" s="12">
        <f t="shared" si="7"/>
        <v>6381148.5443000002</v>
      </c>
      <c r="W100" s="12"/>
      <c r="X100" s="38"/>
      <c r="Y100" s="38">
        <f>E100</f>
        <v>1.0499379165180001E-3</v>
      </c>
      <c r="Z100" s="53">
        <f>E100</f>
        <v>1.0499379165180001E-3</v>
      </c>
      <c r="AB100" s="12">
        <f>D100</f>
        <v>6982</v>
      </c>
      <c r="AC100" s="12">
        <f t="shared" ref="AC100:AC109" si="10">D100</f>
        <v>6982</v>
      </c>
      <c r="AE100" s="1"/>
    </row>
    <row r="101" spans="2:31" x14ac:dyDescent="0.3">
      <c r="B101" t="s">
        <v>281</v>
      </c>
      <c r="C101" s="13">
        <v>6852325</v>
      </c>
      <c r="D101" s="13">
        <v>5542</v>
      </c>
      <c r="E101" s="56">
        <v>8.0877658313099996E-4</v>
      </c>
      <c r="I101" s="13"/>
      <c r="K101" t="s">
        <v>161</v>
      </c>
      <c r="L101" s="6">
        <v>6780693.3750999998</v>
      </c>
      <c r="M101">
        <v>5484</v>
      </c>
      <c r="N101" s="13">
        <v>5268</v>
      </c>
      <c r="O101" s="56">
        <v>8.0876684678599998E-4</v>
      </c>
      <c r="S101" s="1"/>
      <c r="T101" t="str">
        <f t="shared" si="5"/>
        <v/>
      </c>
      <c r="U101" s="1" t="str">
        <f t="shared" si="6"/>
        <v>W37</v>
      </c>
      <c r="V101" s="12">
        <f t="shared" si="7"/>
        <v>6780693.3750999998</v>
      </c>
      <c r="W101" s="12"/>
      <c r="X101" s="38"/>
      <c r="Y101" s="38">
        <f>E101</f>
        <v>8.0877658313099996E-4</v>
      </c>
      <c r="Z101" s="53">
        <f>E101</f>
        <v>8.0877658313099996E-4</v>
      </c>
      <c r="AB101" s="12">
        <f>D101</f>
        <v>5542</v>
      </c>
      <c r="AC101" s="12">
        <f t="shared" si="10"/>
        <v>5542</v>
      </c>
      <c r="AE101" s="1"/>
    </row>
    <row r="102" spans="2:31" x14ac:dyDescent="0.3">
      <c r="B102" t="s">
        <v>371</v>
      </c>
      <c r="C102" s="13">
        <v>6233044</v>
      </c>
      <c r="D102" s="13">
        <v>4468</v>
      </c>
      <c r="E102" s="56">
        <v>7.1682471678400001E-4</v>
      </c>
      <c r="I102" s="13"/>
      <c r="K102" t="s">
        <v>52</v>
      </c>
      <c r="L102" s="6">
        <v>6748034.7725</v>
      </c>
      <c r="M102">
        <v>4837</v>
      </c>
      <c r="N102" s="13">
        <v>5059</v>
      </c>
      <c r="O102" s="56">
        <v>7.1680128557000003E-4</v>
      </c>
      <c r="S102" s="1"/>
      <c r="T102" t="str">
        <f t="shared" si="5"/>
        <v/>
      </c>
      <c r="U102" s="1" t="str">
        <f t="shared" si="6"/>
        <v>W38</v>
      </c>
      <c r="V102" s="12"/>
      <c r="W102" s="12">
        <f t="shared" ref="W102:W165" si="11">L102</f>
        <v>6748034.7725</v>
      </c>
      <c r="X102" s="38"/>
      <c r="Y102" s="38">
        <f>E102</f>
        <v>7.1682471678400001E-4</v>
      </c>
      <c r="Z102" s="53">
        <f>E102</f>
        <v>7.1682471678400001E-4</v>
      </c>
      <c r="AB102" s="12">
        <f>D102</f>
        <v>4468</v>
      </c>
      <c r="AC102" s="12">
        <f t="shared" si="10"/>
        <v>4468</v>
      </c>
      <c r="AE102" s="1"/>
    </row>
    <row r="103" spans="2:31" x14ac:dyDescent="0.3">
      <c r="B103" t="s">
        <v>96</v>
      </c>
      <c r="C103" s="13">
        <v>6488913</v>
      </c>
      <c r="D103" s="13">
        <v>5465</v>
      </c>
      <c r="E103" s="56">
        <v>8.4220577468099996E-4</v>
      </c>
      <c r="I103" s="13"/>
      <c r="K103" t="s">
        <v>250</v>
      </c>
      <c r="L103" s="6">
        <v>6081705.0080000004</v>
      </c>
      <c r="M103">
        <v>5123</v>
      </c>
      <c r="N103" s="13">
        <v>5132</v>
      </c>
      <c r="O103" s="56">
        <v>8.4236246139199995E-4</v>
      </c>
      <c r="S103" s="1"/>
      <c r="T103" t="str">
        <f t="shared" si="5"/>
        <v/>
      </c>
      <c r="U103" s="1" t="str">
        <f t="shared" si="6"/>
        <v>W39</v>
      </c>
      <c r="V103" s="12"/>
      <c r="W103" s="12">
        <f t="shared" si="11"/>
        <v>6081705.0080000004</v>
      </c>
      <c r="X103" s="38"/>
      <c r="Y103" s="38">
        <f t="shared" ref="Y103:Y166" si="12">M103/W103</f>
        <v>8.4236246139217537E-4</v>
      </c>
      <c r="Z103" s="53">
        <f t="shared" ref="Z103:Z166" si="13">AC103/W103</f>
        <v>8.9859669168616796E-4</v>
      </c>
      <c r="AB103" s="12">
        <f>D103</f>
        <v>5465</v>
      </c>
      <c r="AC103" s="12">
        <f t="shared" si="10"/>
        <v>5465</v>
      </c>
      <c r="AE103" s="1"/>
    </row>
    <row r="104" spans="2:31" x14ac:dyDescent="0.3">
      <c r="B104" t="s">
        <v>372</v>
      </c>
      <c r="C104" s="13">
        <v>6685022</v>
      </c>
      <c r="D104" s="13">
        <v>6070</v>
      </c>
      <c r="E104" s="56">
        <v>9.0800000359E-4</v>
      </c>
      <c r="I104" s="13"/>
      <c r="K104" t="s">
        <v>149</v>
      </c>
      <c r="L104" s="6">
        <v>6537403.2131000003</v>
      </c>
      <c r="M104">
        <v>5936</v>
      </c>
      <c r="N104" s="13">
        <v>6143</v>
      </c>
      <c r="O104" s="56">
        <v>9.0800579473300004E-4</v>
      </c>
      <c r="S104" s="1"/>
      <c r="T104" t="str">
        <f t="shared" si="5"/>
        <v/>
      </c>
      <c r="U104" s="1" t="str">
        <f t="shared" si="6"/>
        <v>W40</v>
      </c>
      <c r="V104" s="12"/>
      <c r="W104" s="12">
        <f t="shared" si="11"/>
        <v>6537403.2131000003</v>
      </c>
      <c r="X104" s="38"/>
      <c r="Y104" s="38">
        <f t="shared" si="12"/>
        <v>9.0800579473285725E-4</v>
      </c>
      <c r="Z104" s="53">
        <f t="shared" si="13"/>
        <v>9.2850323012608541E-4</v>
      </c>
      <c r="AB104" s="12">
        <f t="shared" ref="AB104:AB167" si="14">M104</f>
        <v>5936</v>
      </c>
      <c r="AC104" s="12">
        <f t="shared" si="10"/>
        <v>6070</v>
      </c>
      <c r="AE104" s="1"/>
    </row>
    <row r="105" spans="2:31" x14ac:dyDescent="0.3">
      <c r="B105" t="s">
        <v>373</v>
      </c>
      <c r="C105" s="13">
        <v>6290249</v>
      </c>
      <c r="D105" s="13">
        <v>5254</v>
      </c>
      <c r="E105" s="56">
        <v>8.3526105246399995E-4</v>
      </c>
      <c r="I105" s="13"/>
      <c r="K105" t="s">
        <v>147</v>
      </c>
      <c r="L105" s="6">
        <v>6721173.3661000002</v>
      </c>
      <c r="M105">
        <v>5614</v>
      </c>
      <c r="N105" s="13">
        <v>5590</v>
      </c>
      <c r="O105" s="56">
        <v>8.3527082165699997E-4</v>
      </c>
      <c r="S105" s="59" t="s">
        <v>225</v>
      </c>
      <c r="T105" t="str">
        <f t="shared" si="5"/>
        <v/>
      </c>
      <c r="U105" s="1" t="str">
        <f t="shared" si="6"/>
        <v>W41</v>
      </c>
      <c r="V105" s="12"/>
      <c r="W105" s="12">
        <f t="shared" si="11"/>
        <v>6721173.3661000002</v>
      </c>
      <c r="X105" s="38"/>
      <c r="Y105" s="38">
        <f t="shared" si="12"/>
        <v>8.3527082165677803E-4</v>
      </c>
      <c r="Z105" s="53">
        <f t="shared" si="13"/>
        <v>7.8170874545506095E-4</v>
      </c>
      <c r="AB105" s="12">
        <f t="shared" si="14"/>
        <v>5614</v>
      </c>
      <c r="AC105" s="12">
        <f t="shared" si="10"/>
        <v>5254</v>
      </c>
      <c r="AE105" s="1"/>
    </row>
    <row r="106" spans="2:31" x14ac:dyDescent="0.3">
      <c r="B106" t="s">
        <v>193</v>
      </c>
      <c r="C106" s="13">
        <v>6688857</v>
      </c>
      <c r="D106" s="13">
        <v>5824</v>
      </c>
      <c r="E106" s="56">
        <v>8.7070182543900001E-4</v>
      </c>
      <c r="I106" s="13"/>
      <c r="K106" t="s">
        <v>186</v>
      </c>
      <c r="L106" s="6">
        <v>6357985.9452</v>
      </c>
      <c r="M106">
        <v>5536</v>
      </c>
      <c r="N106" s="13">
        <v>5806</v>
      </c>
      <c r="O106" s="56">
        <v>8.7071598580400005E-4</v>
      </c>
      <c r="S106" s="54">
        <v>0.97316616611932005</v>
      </c>
      <c r="T106" t="str">
        <f t="shared" si="5"/>
        <v/>
      </c>
      <c r="U106" s="1" t="str">
        <f t="shared" si="6"/>
        <v>W42</v>
      </c>
      <c r="V106" s="12"/>
      <c r="W106" s="12">
        <f t="shared" si="11"/>
        <v>6357985.9452</v>
      </c>
      <c r="X106" s="38"/>
      <c r="Y106" s="38">
        <f t="shared" si="12"/>
        <v>8.7071598580356041E-4</v>
      </c>
      <c r="Z106" s="53">
        <f t="shared" si="13"/>
        <v>9.1601334922686707E-4</v>
      </c>
      <c r="AB106" s="12">
        <f t="shared" si="14"/>
        <v>5536</v>
      </c>
      <c r="AC106" s="12">
        <f t="shared" si="10"/>
        <v>5824</v>
      </c>
      <c r="AE106" s="1"/>
    </row>
    <row r="107" spans="2:31" x14ac:dyDescent="0.3">
      <c r="B107" t="s">
        <v>113</v>
      </c>
      <c r="C107" s="13">
        <v>6652528</v>
      </c>
      <c r="D107" s="13">
        <v>3918</v>
      </c>
      <c r="E107" s="56">
        <v>5.8894904313100003E-4</v>
      </c>
      <c r="I107" s="13"/>
      <c r="K107" t="s">
        <v>61</v>
      </c>
      <c r="L107" s="6">
        <v>6874976.5850999998</v>
      </c>
      <c r="M107">
        <v>4049</v>
      </c>
      <c r="N107" s="13">
        <v>4088</v>
      </c>
      <c r="O107" s="56">
        <v>5.8894746038500002E-4</v>
      </c>
      <c r="S107" s="54">
        <v>1.0480393783999999</v>
      </c>
      <c r="T107" t="str">
        <f t="shared" si="5"/>
        <v/>
      </c>
      <c r="U107" s="1" t="str">
        <f t="shared" si="6"/>
        <v>W43</v>
      </c>
      <c r="V107" s="12"/>
      <c r="W107" s="12">
        <f t="shared" si="11"/>
        <v>6874976.5850999998</v>
      </c>
      <c r="X107" s="38"/>
      <c r="Y107" s="38">
        <f t="shared" si="12"/>
        <v>5.8894746038485679E-4</v>
      </c>
      <c r="Z107" s="53">
        <f t="shared" si="13"/>
        <v>5.698928500340501E-4</v>
      </c>
      <c r="AB107" s="12">
        <f t="shared" si="14"/>
        <v>4049</v>
      </c>
      <c r="AC107" s="12">
        <f t="shared" si="10"/>
        <v>3918</v>
      </c>
      <c r="AE107" s="1"/>
    </row>
    <row r="108" spans="2:31" x14ac:dyDescent="0.3">
      <c r="B108" t="s">
        <v>157</v>
      </c>
      <c r="C108" s="13">
        <v>6289950</v>
      </c>
      <c r="D108" s="13">
        <v>6923</v>
      </c>
      <c r="E108" s="56">
        <v>1.1006446792100001E-3</v>
      </c>
      <c r="I108" s="13"/>
      <c r="K108" t="s">
        <v>44</v>
      </c>
      <c r="L108" s="6">
        <v>6663764.3509</v>
      </c>
      <c r="M108">
        <v>7334</v>
      </c>
      <c r="N108" s="13">
        <v>7417</v>
      </c>
      <c r="O108" s="56">
        <v>1.1005791342260001E-3</v>
      </c>
      <c r="S108" s="1">
        <f>COUNT(S110:S168)</f>
        <v>59</v>
      </c>
      <c r="T108" t="str">
        <f t="shared" si="5"/>
        <v/>
      </c>
      <c r="U108" s="1" t="str">
        <f t="shared" si="6"/>
        <v>W44</v>
      </c>
      <c r="V108" s="12"/>
      <c r="W108" s="12">
        <f t="shared" si="11"/>
        <v>6663764.3509</v>
      </c>
      <c r="X108" s="38"/>
      <c r="Y108" s="38">
        <f t="shared" si="12"/>
        <v>1.1005791342260593E-3</v>
      </c>
      <c r="Z108" s="53">
        <f t="shared" si="13"/>
        <v>1.0389022833715584E-3</v>
      </c>
      <c r="AB108" s="12">
        <f t="shared" si="14"/>
        <v>7334</v>
      </c>
      <c r="AC108" s="12">
        <f t="shared" si="10"/>
        <v>6923</v>
      </c>
      <c r="AE108" s="1"/>
    </row>
    <row r="109" spans="2:31" x14ac:dyDescent="0.3">
      <c r="B109" t="s">
        <v>269</v>
      </c>
      <c r="C109" s="13">
        <v>6504845</v>
      </c>
      <c r="D109" s="13">
        <v>4569</v>
      </c>
      <c r="E109" s="56">
        <v>7.0239951912799995E-4</v>
      </c>
      <c r="I109" s="13"/>
      <c r="K109" t="s">
        <v>185</v>
      </c>
      <c r="L109" s="6">
        <v>7269214.4610000001</v>
      </c>
      <c r="M109">
        <v>5106</v>
      </c>
      <c r="N109" s="13">
        <v>5218</v>
      </c>
      <c r="O109" s="56">
        <v>7.02414274251E-4</v>
      </c>
      <c r="S109" s="57"/>
      <c r="T109" s="58" t="str">
        <f t="shared" si="5"/>
        <v/>
      </c>
      <c r="U109" s="57" t="str">
        <f t="shared" si="6"/>
        <v>W45</v>
      </c>
      <c r="V109" s="45"/>
      <c r="W109" s="45">
        <f t="shared" si="11"/>
        <v>7269214.4610000001</v>
      </c>
      <c r="X109" s="48"/>
      <c r="Y109" s="48">
        <f t="shared" si="12"/>
        <v>7.0241427425124915E-4</v>
      </c>
      <c r="Z109" s="60">
        <f t="shared" si="13"/>
        <v>6.2854109264668181E-4</v>
      </c>
      <c r="AA109" s="58"/>
      <c r="AB109" s="45">
        <f t="shared" si="14"/>
        <v>5106</v>
      </c>
      <c r="AC109" s="45">
        <f t="shared" si="10"/>
        <v>4569</v>
      </c>
      <c r="AE109" s="1"/>
    </row>
    <row r="110" spans="2:31" x14ac:dyDescent="0.3">
      <c r="I110" s="13"/>
      <c r="K110" t="s">
        <v>111</v>
      </c>
      <c r="L110" s="6">
        <v>5916670.9545</v>
      </c>
      <c r="M110">
        <v>3062</v>
      </c>
      <c r="N110" s="13">
        <v>3077</v>
      </c>
      <c r="O110" s="56">
        <v>5.1752075171100002E-4</v>
      </c>
      <c r="S110" s="1">
        <f t="shared" ref="S110:S168" si="15">S109+1</f>
        <v>1</v>
      </c>
      <c r="T110" t="str">
        <f t="shared" si="5"/>
        <v/>
      </c>
      <c r="U110" s="1" t="str">
        <f t="shared" si="6"/>
        <v>W46</v>
      </c>
      <c r="V110" s="12"/>
      <c r="W110" s="12">
        <f t="shared" si="11"/>
        <v>5916670.9545</v>
      </c>
      <c r="X110" s="38"/>
      <c r="Y110" s="38">
        <f t="shared" si="12"/>
        <v>5.1752075171108795E-4</v>
      </c>
      <c r="Z110" s="53">
        <f t="shared" si="13"/>
        <v>5.0433766267337895E-4</v>
      </c>
      <c r="AB110" s="12">
        <f t="shared" si="14"/>
        <v>3062</v>
      </c>
      <c r="AC110" s="12">
        <f t="shared" ref="AC110:AC168" si="16">ROUND(M110*($S$106-((($S$106-$S$107)/$S$108)*(S110-0))),0)</f>
        <v>2984</v>
      </c>
      <c r="AE110" s="1"/>
    </row>
    <row r="111" spans="2:31" x14ac:dyDescent="0.3">
      <c r="I111" s="13"/>
      <c r="K111" t="s">
        <v>138</v>
      </c>
      <c r="L111" s="6">
        <v>6739844.5153999999</v>
      </c>
      <c r="M111">
        <v>5335</v>
      </c>
      <c r="N111" s="13">
        <v>5547</v>
      </c>
      <c r="O111" s="56">
        <v>7.9156128718000003E-4</v>
      </c>
      <c r="S111" s="1">
        <f t="shared" si="15"/>
        <v>2</v>
      </c>
      <c r="T111" t="str">
        <f t="shared" si="5"/>
        <v/>
      </c>
      <c r="U111" s="1" t="str">
        <f t="shared" si="6"/>
        <v>W47</v>
      </c>
      <c r="V111" s="12"/>
      <c r="W111" s="12">
        <f t="shared" si="11"/>
        <v>6739844.5153999999</v>
      </c>
      <c r="X111" s="38"/>
      <c r="Y111" s="38">
        <f t="shared" si="12"/>
        <v>7.9156128717954195E-4</v>
      </c>
      <c r="Z111" s="53">
        <f t="shared" si="13"/>
        <v>7.7227300839166179E-4</v>
      </c>
      <c r="AB111" s="12">
        <f t="shared" si="14"/>
        <v>5335</v>
      </c>
      <c r="AC111" s="12">
        <f t="shared" si="16"/>
        <v>5205</v>
      </c>
      <c r="AE111" s="1"/>
    </row>
    <row r="112" spans="2:31" x14ac:dyDescent="0.3">
      <c r="I112" s="13"/>
      <c r="K112" t="s">
        <v>107</v>
      </c>
      <c r="L112" s="6">
        <v>6408578.3017999995</v>
      </c>
      <c r="M112">
        <v>5083</v>
      </c>
      <c r="N112" s="13">
        <v>4961</v>
      </c>
      <c r="O112" s="56">
        <v>7.9315563618400004E-4</v>
      </c>
      <c r="S112" s="1">
        <f t="shared" si="15"/>
        <v>3</v>
      </c>
      <c r="T112" t="str">
        <f t="shared" si="5"/>
        <v/>
      </c>
      <c r="U112" s="1" t="str">
        <f t="shared" si="6"/>
        <v>W48</v>
      </c>
      <c r="V112" s="12"/>
      <c r="W112" s="12">
        <f t="shared" si="11"/>
        <v>6408578.3017999995</v>
      </c>
      <c r="X112" s="38"/>
      <c r="Y112" s="38">
        <f t="shared" si="12"/>
        <v>7.9315563618413156E-4</v>
      </c>
      <c r="Z112" s="53">
        <f t="shared" si="13"/>
        <v>7.7489885683462473E-4</v>
      </c>
      <c r="AB112" s="12">
        <f t="shared" si="14"/>
        <v>5083</v>
      </c>
      <c r="AC112" s="12">
        <f t="shared" si="16"/>
        <v>4966</v>
      </c>
      <c r="AE112" s="1"/>
    </row>
    <row r="113" spans="9:31" x14ac:dyDescent="0.3">
      <c r="I113" s="13"/>
      <c r="K113" t="s">
        <v>184</v>
      </c>
      <c r="L113" s="6">
        <v>6447481.2835999997</v>
      </c>
      <c r="M113">
        <v>4061</v>
      </c>
      <c r="N113" s="13">
        <v>3958</v>
      </c>
      <c r="O113" s="56">
        <v>6.2985836195099995E-4</v>
      </c>
      <c r="S113" s="1">
        <f t="shared" si="15"/>
        <v>4</v>
      </c>
      <c r="T113" t="str">
        <f t="shared" si="5"/>
        <v/>
      </c>
      <c r="U113" s="1" t="str">
        <f t="shared" si="6"/>
        <v>W49</v>
      </c>
      <c r="V113" s="12"/>
      <c r="W113" s="12">
        <f t="shared" si="11"/>
        <v>6447481.2835999997</v>
      </c>
      <c r="X113" s="38"/>
      <c r="Y113" s="38">
        <f t="shared" si="12"/>
        <v>6.2985836195130602E-4</v>
      </c>
      <c r="Z113" s="53">
        <f t="shared" si="13"/>
        <v>6.1620962128356045E-4</v>
      </c>
      <c r="AB113" s="12">
        <f t="shared" si="14"/>
        <v>4061</v>
      </c>
      <c r="AC113" s="12">
        <f t="shared" si="16"/>
        <v>3973</v>
      </c>
      <c r="AE113" s="1"/>
    </row>
    <row r="114" spans="9:31" x14ac:dyDescent="0.3">
      <c r="I114" s="13"/>
      <c r="K114" t="s">
        <v>121</v>
      </c>
      <c r="L114" s="6">
        <v>7096762.0355000002</v>
      </c>
      <c r="M114">
        <v>4501</v>
      </c>
      <c r="N114" s="13">
        <v>4511</v>
      </c>
      <c r="O114" s="56">
        <v>6.3423290473700003E-4</v>
      </c>
      <c r="S114" s="1">
        <f t="shared" si="15"/>
        <v>5</v>
      </c>
      <c r="T114" t="str">
        <f t="shared" si="5"/>
        <v/>
      </c>
      <c r="U114" s="1" t="str">
        <f t="shared" si="6"/>
        <v>W50</v>
      </c>
      <c r="V114" s="12"/>
      <c r="W114" s="12">
        <f t="shared" si="11"/>
        <v>7096762.0355000002</v>
      </c>
      <c r="X114" s="38"/>
      <c r="Y114" s="38">
        <f t="shared" si="12"/>
        <v>6.3423290473665764E-4</v>
      </c>
      <c r="Z114" s="53">
        <f t="shared" si="13"/>
        <v>6.2126924616394657E-4</v>
      </c>
      <c r="AB114" s="12">
        <f t="shared" si="14"/>
        <v>4501</v>
      </c>
      <c r="AC114" s="12">
        <f t="shared" si="16"/>
        <v>4409</v>
      </c>
      <c r="AE114" s="1"/>
    </row>
    <row r="115" spans="9:31" x14ac:dyDescent="0.3">
      <c r="I115" s="13"/>
      <c r="K115" t="s">
        <v>374</v>
      </c>
      <c r="L115" s="6">
        <v>6476906.4483000003</v>
      </c>
      <c r="M115">
        <v>3922</v>
      </c>
      <c r="N115" s="13">
        <v>3972</v>
      </c>
      <c r="O115" s="56">
        <v>6.05535996437E-4</v>
      </c>
      <c r="S115" s="1">
        <f t="shared" si="15"/>
        <v>6</v>
      </c>
      <c r="T115" t="str">
        <f t="shared" si="5"/>
        <v/>
      </c>
      <c r="U115" s="1" t="str">
        <f t="shared" si="6"/>
        <v>W51</v>
      </c>
      <c r="V115" s="12"/>
      <c r="W115" s="12">
        <f t="shared" si="11"/>
        <v>6476906.4483000003</v>
      </c>
      <c r="X115" s="38"/>
      <c r="Y115" s="38">
        <f t="shared" si="12"/>
        <v>6.0553599643691175E-4</v>
      </c>
      <c r="Z115" s="53">
        <f t="shared" si="13"/>
        <v>5.9395639426129514E-4</v>
      </c>
      <c r="AB115" s="12">
        <f t="shared" si="14"/>
        <v>3922</v>
      </c>
      <c r="AC115" s="12">
        <f t="shared" si="16"/>
        <v>3847</v>
      </c>
      <c r="AE115" s="1"/>
    </row>
    <row r="116" spans="9:31" x14ac:dyDescent="0.3">
      <c r="I116" s="13"/>
      <c r="K116" t="s">
        <v>135</v>
      </c>
      <c r="L116" s="6">
        <v>7199820.5182999996</v>
      </c>
      <c r="M116">
        <v>5693</v>
      </c>
      <c r="N116" s="13">
        <v>5571</v>
      </c>
      <c r="O116" s="56">
        <v>7.9071415537800005E-4</v>
      </c>
      <c r="S116" s="1">
        <f t="shared" si="15"/>
        <v>7</v>
      </c>
      <c r="T116" t="str">
        <f t="shared" si="5"/>
        <v/>
      </c>
      <c r="U116" s="1" t="str">
        <f t="shared" si="6"/>
        <v>W52</v>
      </c>
      <c r="V116" s="12"/>
      <c r="W116" s="12">
        <f t="shared" si="11"/>
        <v>7199820.5182999996</v>
      </c>
      <c r="X116" s="38"/>
      <c r="Y116" s="38">
        <f t="shared" si="12"/>
        <v>7.9071415537789185E-4</v>
      </c>
      <c r="Z116" s="53">
        <f t="shared" si="13"/>
        <v>7.7654713555555836E-4</v>
      </c>
      <c r="AB116" s="12">
        <f t="shared" si="14"/>
        <v>5693</v>
      </c>
      <c r="AC116" s="12">
        <f t="shared" si="16"/>
        <v>5591</v>
      </c>
      <c r="AE116" s="1"/>
    </row>
    <row r="117" spans="9:31" x14ac:dyDescent="0.3">
      <c r="J117" t="s">
        <v>375</v>
      </c>
      <c r="K117" t="s">
        <v>168</v>
      </c>
      <c r="L117" s="6">
        <v>6318337.2000000002</v>
      </c>
      <c r="M117">
        <v>5431</v>
      </c>
      <c r="N117" s="13">
        <v>5307</v>
      </c>
      <c r="O117" s="56">
        <v>8.5956159478200002E-4</v>
      </c>
      <c r="S117" s="1">
        <f t="shared" si="15"/>
        <v>8</v>
      </c>
      <c r="T117" t="str">
        <f t="shared" si="5"/>
        <v>FY2027</v>
      </c>
      <c r="U117" s="1" t="str">
        <f t="shared" si="6"/>
        <v>W01</v>
      </c>
      <c r="V117" s="12"/>
      <c r="W117" s="12">
        <f t="shared" si="11"/>
        <v>6318337.2000000002</v>
      </c>
      <c r="X117" s="38"/>
      <c r="Y117" s="38">
        <f t="shared" si="12"/>
        <v>8.5956159478161437E-4</v>
      </c>
      <c r="Z117" s="53">
        <f t="shared" si="13"/>
        <v>8.4515907128223538E-4</v>
      </c>
      <c r="AB117" s="12">
        <f t="shared" si="14"/>
        <v>5431</v>
      </c>
      <c r="AC117" s="12">
        <f t="shared" si="16"/>
        <v>5340</v>
      </c>
      <c r="AE117" s="1"/>
    </row>
    <row r="118" spans="9:31" x14ac:dyDescent="0.3">
      <c r="K118" t="s">
        <v>43</v>
      </c>
      <c r="L118" s="6">
        <v>6534462.9402000001</v>
      </c>
      <c r="M118">
        <v>4709</v>
      </c>
      <c r="N118" s="13">
        <v>4539</v>
      </c>
      <c r="O118" s="56">
        <v>7.2064070805700001E-4</v>
      </c>
      <c r="S118" s="1">
        <f t="shared" si="15"/>
        <v>9</v>
      </c>
      <c r="T118" t="str">
        <f t="shared" si="5"/>
        <v/>
      </c>
      <c r="U118" s="1" t="str">
        <f t="shared" si="6"/>
        <v>W02</v>
      </c>
      <c r="V118" s="12"/>
      <c r="W118" s="12">
        <f t="shared" si="11"/>
        <v>6534462.9402000001</v>
      </c>
      <c r="X118" s="38"/>
      <c r="Y118" s="38">
        <f t="shared" si="12"/>
        <v>7.2064070805731312E-4</v>
      </c>
      <c r="Z118" s="53">
        <f t="shared" si="13"/>
        <v>7.0946917021739292E-4</v>
      </c>
      <c r="AB118" s="12">
        <f t="shared" si="14"/>
        <v>4709</v>
      </c>
      <c r="AC118" s="12">
        <f t="shared" si="16"/>
        <v>4636</v>
      </c>
      <c r="AE118" s="1"/>
    </row>
    <row r="119" spans="9:31" x14ac:dyDescent="0.3">
      <c r="K119" t="s">
        <v>209</v>
      </c>
      <c r="L119" s="6">
        <v>6262799.8596000001</v>
      </c>
      <c r="M119">
        <v>6071</v>
      </c>
      <c r="N119" s="13">
        <v>5908</v>
      </c>
      <c r="O119" s="56">
        <v>9.6937474230400001E-4</v>
      </c>
      <c r="S119" s="1">
        <f t="shared" si="15"/>
        <v>10</v>
      </c>
      <c r="T119" t="str">
        <f t="shared" si="5"/>
        <v/>
      </c>
      <c r="U119" s="1" t="str">
        <f t="shared" si="6"/>
        <v>W03</v>
      </c>
      <c r="V119" s="12"/>
      <c r="W119" s="12">
        <f t="shared" si="11"/>
        <v>6262799.8596000001</v>
      </c>
      <c r="X119" s="38"/>
      <c r="Y119" s="38">
        <f t="shared" si="12"/>
        <v>9.6937474230379607E-4</v>
      </c>
      <c r="Z119" s="53">
        <f t="shared" si="13"/>
        <v>9.5564286488028646E-4</v>
      </c>
      <c r="AB119" s="12">
        <f t="shared" si="14"/>
        <v>6071</v>
      </c>
      <c r="AC119" s="12">
        <f t="shared" si="16"/>
        <v>5985</v>
      </c>
      <c r="AE119" s="1"/>
    </row>
    <row r="120" spans="9:31" x14ac:dyDescent="0.3">
      <c r="K120" t="s">
        <v>206</v>
      </c>
      <c r="L120" s="6">
        <v>6193298.6692000004</v>
      </c>
      <c r="M120">
        <v>4453</v>
      </c>
      <c r="N120" s="13">
        <v>4259</v>
      </c>
      <c r="O120" s="56">
        <v>7.1900294783900005E-4</v>
      </c>
      <c r="S120" s="1">
        <f t="shared" si="15"/>
        <v>11</v>
      </c>
      <c r="T120" t="str">
        <f t="shared" si="5"/>
        <v/>
      </c>
      <c r="U120" s="1" t="str">
        <f t="shared" si="6"/>
        <v>W04</v>
      </c>
      <c r="V120" s="12"/>
      <c r="W120" s="12">
        <f t="shared" si="11"/>
        <v>6193298.6692000004</v>
      </c>
      <c r="X120" s="38"/>
      <c r="Y120" s="38">
        <f t="shared" si="12"/>
        <v>7.1900294783865191E-4</v>
      </c>
      <c r="Z120" s="53">
        <f t="shared" si="13"/>
        <v>7.0979945176256767E-4</v>
      </c>
      <c r="AB120" s="12">
        <f t="shared" si="14"/>
        <v>4453</v>
      </c>
      <c r="AC120" s="12">
        <f t="shared" si="16"/>
        <v>4396</v>
      </c>
      <c r="AE120" s="1"/>
    </row>
    <row r="121" spans="9:31" x14ac:dyDescent="0.3">
      <c r="K121" t="s">
        <v>80</v>
      </c>
      <c r="L121" s="6">
        <v>6428229.2600999996</v>
      </c>
      <c r="M121">
        <v>3726</v>
      </c>
      <c r="N121" s="13">
        <v>3692</v>
      </c>
      <c r="O121" s="56">
        <v>5.7963085155099999E-4</v>
      </c>
      <c r="S121" s="1">
        <f t="shared" si="15"/>
        <v>12</v>
      </c>
      <c r="T121" t="str">
        <f t="shared" si="5"/>
        <v/>
      </c>
      <c r="U121" s="1" t="str">
        <f t="shared" si="6"/>
        <v>W05</v>
      </c>
      <c r="V121" s="12"/>
      <c r="W121" s="12">
        <f t="shared" si="11"/>
        <v>6428229.2600999996</v>
      </c>
      <c r="X121" s="38"/>
      <c r="Y121" s="38">
        <f t="shared" si="12"/>
        <v>5.7963085155149504E-4</v>
      </c>
      <c r="Z121" s="53">
        <f t="shared" si="13"/>
        <v>5.7294160661947296E-4</v>
      </c>
      <c r="AB121" s="12">
        <f t="shared" si="14"/>
        <v>3726</v>
      </c>
      <c r="AC121" s="12">
        <f t="shared" si="16"/>
        <v>3683</v>
      </c>
      <c r="AE121" s="1"/>
    </row>
    <row r="122" spans="9:31" x14ac:dyDescent="0.3">
      <c r="K122" t="s">
        <v>244</v>
      </c>
      <c r="L122" s="6">
        <v>6305771.6613999996</v>
      </c>
      <c r="M122">
        <v>4099</v>
      </c>
      <c r="N122" s="13">
        <v>3979</v>
      </c>
      <c r="O122" s="56">
        <v>6.5003939566800003E-4</v>
      </c>
      <c r="S122" s="1">
        <f t="shared" si="15"/>
        <v>13</v>
      </c>
      <c r="T122" t="str">
        <f t="shared" si="5"/>
        <v/>
      </c>
      <c r="U122" s="1" t="str">
        <f t="shared" si="6"/>
        <v>W06</v>
      </c>
      <c r="V122" s="12"/>
      <c r="W122" s="12">
        <f t="shared" si="11"/>
        <v>6305771.6613999996</v>
      </c>
      <c r="X122" s="38"/>
      <c r="Y122" s="38">
        <f t="shared" si="12"/>
        <v>6.5003939566849855E-4</v>
      </c>
      <c r="Z122" s="53">
        <f t="shared" si="13"/>
        <v>6.4337883098977765E-4</v>
      </c>
      <c r="AB122" s="12">
        <f t="shared" si="14"/>
        <v>4099</v>
      </c>
      <c r="AC122" s="12">
        <f t="shared" si="16"/>
        <v>4057</v>
      </c>
      <c r="AE122" s="1"/>
    </row>
    <row r="123" spans="9:31" x14ac:dyDescent="0.3">
      <c r="K123" t="s">
        <v>103</v>
      </c>
      <c r="L123" s="6">
        <v>6456218.3324999996</v>
      </c>
      <c r="M123">
        <v>4899</v>
      </c>
      <c r="N123" s="13">
        <v>4860</v>
      </c>
      <c r="O123" s="56">
        <v>7.5880333466100004E-4</v>
      </c>
      <c r="S123" s="1">
        <f t="shared" si="15"/>
        <v>14</v>
      </c>
      <c r="T123" t="str">
        <f t="shared" si="5"/>
        <v/>
      </c>
      <c r="U123" s="1" t="str">
        <f t="shared" si="6"/>
        <v>W07</v>
      </c>
      <c r="V123" s="12"/>
      <c r="W123" s="12">
        <f t="shared" si="11"/>
        <v>6456218.3324999996</v>
      </c>
      <c r="X123" s="38"/>
      <c r="Y123" s="38">
        <f t="shared" si="12"/>
        <v>7.5880333466092555E-4</v>
      </c>
      <c r="Z123" s="53">
        <f t="shared" si="13"/>
        <v>7.519881995874247E-4</v>
      </c>
      <c r="AB123" s="12">
        <f t="shared" si="14"/>
        <v>4899</v>
      </c>
      <c r="AC123" s="12">
        <f t="shared" si="16"/>
        <v>4855</v>
      </c>
      <c r="AE123" s="1"/>
    </row>
    <row r="124" spans="9:31" x14ac:dyDescent="0.3">
      <c r="K124" t="s">
        <v>146</v>
      </c>
      <c r="L124" s="6">
        <v>5718374.1468000002</v>
      </c>
      <c r="M124">
        <v>5514</v>
      </c>
      <c r="N124" s="13">
        <v>5622</v>
      </c>
      <c r="O124" s="56">
        <v>9.6426009534299998E-4</v>
      </c>
      <c r="S124" s="1">
        <f t="shared" si="15"/>
        <v>15</v>
      </c>
      <c r="T124" t="str">
        <f t="shared" si="5"/>
        <v/>
      </c>
      <c r="U124" s="1" t="str">
        <f t="shared" si="6"/>
        <v>W08</v>
      </c>
      <c r="V124" s="12"/>
      <c r="W124" s="12">
        <f t="shared" si="11"/>
        <v>5718374.1468000002</v>
      </c>
      <c r="X124" s="38"/>
      <c r="Y124" s="38">
        <f t="shared" si="12"/>
        <v>9.6426009534294501E-4</v>
      </c>
      <c r="Z124" s="53">
        <f t="shared" si="13"/>
        <v>9.5674047544817777E-4</v>
      </c>
      <c r="AB124" s="12">
        <f t="shared" si="14"/>
        <v>5514</v>
      </c>
      <c r="AC124" s="12">
        <f t="shared" si="16"/>
        <v>5471</v>
      </c>
      <c r="AE124" s="1"/>
    </row>
    <row r="125" spans="9:31" x14ac:dyDescent="0.3">
      <c r="K125" t="s">
        <v>91</v>
      </c>
      <c r="L125" s="6">
        <v>7024942.3975</v>
      </c>
      <c r="M125">
        <v>4834</v>
      </c>
      <c r="N125" s="13">
        <v>5006</v>
      </c>
      <c r="O125" s="56">
        <v>6.8811952133900002E-4</v>
      </c>
      <c r="S125" s="1">
        <f t="shared" si="15"/>
        <v>16</v>
      </c>
      <c r="T125" t="str">
        <f t="shared" si="5"/>
        <v/>
      </c>
      <c r="U125" s="1" t="str">
        <f t="shared" si="6"/>
        <v>W09</v>
      </c>
      <c r="V125" s="12"/>
      <c r="W125" s="12">
        <f t="shared" si="11"/>
        <v>7024942.3975</v>
      </c>
      <c r="X125" s="38"/>
      <c r="Y125" s="38">
        <f t="shared" si="12"/>
        <v>6.8811952133875131E-4</v>
      </c>
      <c r="Z125" s="53">
        <f t="shared" si="13"/>
        <v>6.8356432384540416E-4</v>
      </c>
      <c r="AB125" s="12">
        <f t="shared" si="14"/>
        <v>4834</v>
      </c>
      <c r="AC125" s="12">
        <f t="shared" si="16"/>
        <v>4802</v>
      </c>
      <c r="AE125" s="1"/>
    </row>
    <row r="126" spans="9:31" x14ac:dyDescent="0.3">
      <c r="K126" t="s">
        <v>222</v>
      </c>
      <c r="L126" s="6">
        <v>6296458.8701999998</v>
      </c>
      <c r="M126">
        <v>5128</v>
      </c>
      <c r="N126" s="13">
        <v>4875</v>
      </c>
      <c r="O126" s="56">
        <v>8.1442602988599996E-4</v>
      </c>
      <c r="S126" s="1">
        <f t="shared" si="15"/>
        <v>17</v>
      </c>
      <c r="T126" t="str">
        <f t="shared" si="5"/>
        <v/>
      </c>
      <c r="U126" s="1" t="str">
        <f t="shared" si="6"/>
        <v>W10</v>
      </c>
      <c r="V126" s="12"/>
      <c r="W126" s="12">
        <f t="shared" si="11"/>
        <v>6296458.8701999998</v>
      </c>
      <c r="X126" s="38"/>
      <c r="Y126" s="38">
        <f t="shared" si="12"/>
        <v>8.1442602988640101E-4</v>
      </c>
      <c r="Z126" s="53">
        <f t="shared" si="13"/>
        <v>8.1013790531406628E-4</v>
      </c>
      <c r="AB126" s="12">
        <f t="shared" si="14"/>
        <v>5128</v>
      </c>
      <c r="AC126" s="12">
        <f t="shared" si="16"/>
        <v>5101</v>
      </c>
      <c r="AE126" s="1"/>
    </row>
    <row r="127" spans="9:31" x14ac:dyDescent="0.3">
      <c r="K127" t="s">
        <v>101</v>
      </c>
      <c r="L127" s="6">
        <v>6900357.8591</v>
      </c>
      <c r="M127">
        <v>4512</v>
      </c>
      <c r="N127" s="13">
        <v>4445</v>
      </c>
      <c r="O127" s="56">
        <v>6.53879130928E-4</v>
      </c>
      <c r="S127" s="1">
        <f t="shared" si="15"/>
        <v>18</v>
      </c>
      <c r="T127" t="str">
        <f t="shared" si="5"/>
        <v/>
      </c>
      <c r="U127" s="1" t="str">
        <f t="shared" si="6"/>
        <v>W11</v>
      </c>
      <c r="V127" s="12"/>
      <c r="W127" s="12">
        <f t="shared" si="11"/>
        <v>6900357.8591</v>
      </c>
      <c r="X127" s="38"/>
      <c r="Y127" s="38">
        <f t="shared" si="12"/>
        <v>6.5387913092792714E-4</v>
      </c>
      <c r="Z127" s="53">
        <f t="shared" si="13"/>
        <v>6.5127057056518279E-4</v>
      </c>
      <c r="AB127" s="12">
        <f t="shared" si="14"/>
        <v>4512</v>
      </c>
      <c r="AC127" s="12">
        <f t="shared" si="16"/>
        <v>4494</v>
      </c>
      <c r="AE127" s="1"/>
    </row>
    <row r="128" spans="9:31" x14ac:dyDescent="0.3">
      <c r="K128" t="s">
        <v>151</v>
      </c>
      <c r="L128" s="6">
        <v>6021320.0039999997</v>
      </c>
      <c r="M128">
        <v>4856</v>
      </c>
      <c r="N128" s="13">
        <v>5076</v>
      </c>
      <c r="O128" s="56">
        <v>8.0646768429100001E-4</v>
      </c>
      <c r="S128" s="1">
        <f t="shared" si="15"/>
        <v>19</v>
      </c>
      <c r="T128" t="str">
        <f t="shared" si="5"/>
        <v/>
      </c>
      <c r="U128" s="1" t="str">
        <f t="shared" si="6"/>
        <v>W12</v>
      </c>
      <c r="V128" s="12"/>
      <c r="W128" s="12">
        <f t="shared" si="11"/>
        <v>6021320.0039999997</v>
      </c>
      <c r="X128" s="38"/>
      <c r="Y128" s="38">
        <f t="shared" si="12"/>
        <v>8.0646768429084149E-4</v>
      </c>
      <c r="Z128" s="53">
        <f t="shared" si="13"/>
        <v>8.0430868925464272E-4</v>
      </c>
      <c r="AB128" s="12">
        <f t="shared" si="14"/>
        <v>4856</v>
      </c>
      <c r="AC128" s="12">
        <f t="shared" si="16"/>
        <v>4843</v>
      </c>
      <c r="AE128" s="1"/>
    </row>
    <row r="129" spans="11:31" x14ac:dyDescent="0.3">
      <c r="K129" t="s">
        <v>257</v>
      </c>
      <c r="L129" s="6">
        <v>6427812.8924000002</v>
      </c>
      <c r="M129">
        <v>3253</v>
      </c>
      <c r="N129" s="13">
        <v>3227</v>
      </c>
      <c r="O129" s="56">
        <v>5.0608193711499999E-4</v>
      </c>
      <c r="S129" s="1">
        <f t="shared" si="15"/>
        <v>20</v>
      </c>
      <c r="T129" t="str">
        <f t="shared" si="5"/>
        <v/>
      </c>
      <c r="U129" s="1" t="str">
        <f t="shared" si="6"/>
        <v>W13</v>
      </c>
      <c r="V129" s="12"/>
      <c r="W129" s="12">
        <f t="shared" si="11"/>
        <v>6427812.8924000002</v>
      </c>
      <c r="X129" s="38"/>
      <c r="Y129" s="38">
        <f t="shared" si="12"/>
        <v>5.0608193711522355E-4</v>
      </c>
      <c r="Z129" s="53">
        <f t="shared" si="13"/>
        <v>5.0530406755310356E-4</v>
      </c>
      <c r="AB129" s="12">
        <f t="shared" si="14"/>
        <v>3253</v>
      </c>
      <c r="AC129" s="12">
        <f t="shared" si="16"/>
        <v>3248</v>
      </c>
      <c r="AE129" s="1"/>
    </row>
    <row r="130" spans="11:31" x14ac:dyDescent="0.3">
      <c r="K130" t="s">
        <v>76</v>
      </c>
      <c r="L130" s="6">
        <v>7303775.3784999996</v>
      </c>
      <c r="M130">
        <v>5822</v>
      </c>
      <c r="N130" s="13">
        <v>5882</v>
      </c>
      <c r="O130" s="56">
        <v>7.9712199489799995E-4</v>
      </c>
      <c r="S130" s="1">
        <f t="shared" si="15"/>
        <v>21</v>
      </c>
      <c r="T130" t="str">
        <f t="shared" si="5"/>
        <v/>
      </c>
      <c r="U130" s="1" t="str">
        <f t="shared" si="6"/>
        <v>W14</v>
      </c>
      <c r="V130" s="12"/>
      <c r="W130" s="12">
        <f t="shared" si="11"/>
        <v>7303775.3784999996</v>
      </c>
      <c r="X130" s="38"/>
      <c r="Y130" s="38">
        <f t="shared" si="12"/>
        <v>7.9712199489843612E-4</v>
      </c>
      <c r="Z130" s="53">
        <f t="shared" si="13"/>
        <v>7.9698507940635459E-4</v>
      </c>
      <c r="AB130" s="12">
        <f t="shared" si="14"/>
        <v>5822</v>
      </c>
      <c r="AC130" s="12">
        <f t="shared" si="16"/>
        <v>5821</v>
      </c>
      <c r="AE130" s="1"/>
    </row>
    <row r="131" spans="11:31" x14ac:dyDescent="0.3">
      <c r="K131" t="s">
        <v>139</v>
      </c>
      <c r="L131" s="6">
        <v>6026840.7052999996</v>
      </c>
      <c r="M131">
        <v>3685</v>
      </c>
      <c r="N131" s="13">
        <v>3582</v>
      </c>
      <c r="O131" s="56">
        <v>6.1143145806999996E-4</v>
      </c>
      <c r="S131" s="1">
        <f t="shared" si="15"/>
        <v>22</v>
      </c>
      <c r="T131" t="str">
        <f t="shared" si="5"/>
        <v/>
      </c>
      <c r="U131" s="1" t="str">
        <f t="shared" si="6"/>
        <v>W15</v>
      </c>
      <c r="V131" s="12"/>
      <c r="W131" s="12">
        <f t="shared" si="11"/>
        <v>6026840.7052999996</v>
      </c>
      <c r="X131" s="38"/>
      <c r="Y131" s="38">
        <f t="shared" si="12"/>
        <v>6.1143145807046357E-4</v>
      </c>
      <c r="Z131" s="53">
        <f t="shared" si="13"/>
        <v>6.1209515571830132E-4</v>
      </c>
      <c r="AB131" s="12">
        <f t="shared" si="14"/>
        <v>3685</v>
      </c>
      <c r="AC131" s="12">
        <f t="shared" si="16"/>
        <v>3689</v>
      </c>
      <c r="AE131" s="1"/>
    </row>
    <row r="132" spans="11:31" x14ac:dyDescent="0.3">
      <c r="K132" t="s">
        <v>237</v>
      </c>
      <c r="L132" s="6">
        <v>5826908.9834000003</v>
      </c>
      <c r="M132">
        <v>4840</v>
      </c>
      <c r="N132" s="13">
        <v>4612</v>
      </c>
      <c r="O132" s="56">
        <v>8.3062907174100001E-4</v>
      </c>
      <c r="S132" s="1">
        <f t="shared" si="15"/>
        <v>23</v>
      </c>
      <c r="T132" t="str">
        <f t="shared" si="5"/>
        <v/>
      </c>
      <c r="U132" s="1" t="str">
        <f t="shared" si="6"/>
        <v>W16</v>
      </c>
      <c r="V132" s="12"/>
      <c r="W132" s="12">
        <f t="shared" si="11"/>
        <v>5826908.9834000003</v>
      </c>
      <c r="X132" s="38"/>
      <c r="Y132" s="38">
        <f t="shared" si="12"/>
        <v>8.3062907174085647E-4</v>
      </c>
      <c r="Z132" s="53">
        <f t="shared" si="13"/>
        <v>8.3251686508572207E-4</v>
      </c>
      <c r="AB132" s="12">
        <f t="shared" si="14"/>
        <v>4840</v>
      </c>
      <c r="AC132" s="12">
        <f t="shared" si="16"/>
        <v>4851</v>
      </c>
      <c r="AE132" s="1"/>
    </row>
    <row r="133" spans="11:31" x14ac:dyDescent="0.3">
      <c r="K133" t="s">
        <v>104</v>
      </c>
      <c r="L133" s="6">
        <v>6119767.5577999996</v>
      </c>
      <c r="M133">
        <v>5860</v>
      </c>
      <c r="N133" s="13">
        <v>5764</v>
      </c>
      <c r="O133" s="56">
        <v>9.5755270844099995E-4</v>
      </c>
      <c r="S133" s="1">
        <f t="shared" si="15"/>
        <v>24</v>
      </c>
      <c r="T133" t="str">
        <f t="shared" si="5"/>
        <v/>
      </c>
      <c r="U133" s="1" t="str">
        <f t="shared" si="6"/>
        <v>W17</v>
      </c>
      <c r="V133" s="12"/>
      <c r="W133" s="12">
        <f t="shared" si="11"/>
        <v>6119767.5577999996</v>
      </c>
      <c r="X133" s="38"/>
      <c r="Y133" s="38">
        <f t="shared" si="12"/>
        <v>9.5755270844087689E-4</v>
      </c>
      <c r="Z133" s="53">
        <f t="shared" si="13"/>
        <v>9.6098421132095511E-4</v>
      </c>
      <c r="AB133" s="12">
        <f t="shared" si="14"/>
        <v>5860</v>
      </c>
      <c r="AC133" s="12">
        <f t="shared" si="16"/>
        <v>5881</v>
      </c>
      <c r="AE133" s="1"/>
    </row>
    <row r="134" spans="11:31" x14ac:dyDescent="0.3">
      <c r="K134" t="s">
        <v>267</v>
      </c>
      <c r="L134" s="6">
        <v>6432482.4929</v>
      </c>
      <c r="M134">
        <v>4723</v>
      </c>
      <c r="N134" s="13">
        <v>4565</v>
      </c>
      <c r="O134" s="56">
        <v>7.3424218491300003E-4</v>
      </c>
      <c r="S134" s="1">
        <f t="shared" si="15"/>
        <v>25</v>
      </c>
      <c r="T134" t="str">
        <f t="shared" si="5"/>
        <v/>
      </c>
      <c r="U134" s="1" t="str">
        <f t="shared" si="6"/>
        <v>W18</v>
      </c>
      <c r="V134" s="12"/>
      <c r="W134" s="12">
        <f t="shared" si="11"/>
        <v>6432482.4929</v>
      </c>
      <c r="X134" s="38"/>
      <c r="Y134" s="38">
        <f t="shared" si="12"/>
        <v>7.3424218491276421E-4</v>
      </c>
      <c r="Z134" s="53">
        <f t="shared" si="13"/>
        <v>7.3781778733770457E-4</v>
      </c>
      <c r="AB134" s="12">
        <f t="shared" si="14"/>
        <v>4723</v>
      </c>
      <c r="AC134" s="12">
        <f t="shared" si="16"/>
        <v>4746</v>
      </c>
      <c r="AE134" s="1"/>
    </row>
    <row r="135" spans="11:31" x14ac:dyDescent="0.3">
      <c r="K135" t="s">
        <v>255</v>
      </c>
      <c r="L135" s="6">
        <v>6492107.1008000001</v>
      </c>
      <c r="M135">
        <v>4299</v>
      </c>
      <c r="N135" s="13">
        <v>4285</v>
      </c>
      <c r="O135" s="56">
        <v>6.6218870595500005E-4</v>
      </c>
      <c r="S135" s="1">
        <f t="shared" si="15"/>
        <v>26</v>
      </c>
      <c r="T135" t="str">
        <f t="shared" si="5"/>
        <v/>
      </c>
      <c r="U135" s="1" t="str">
        <f t="shared" si="6"/>
        <v>W19</v>
      </c>
      <c r="V135" s="12"/>
      <c r="W135" s="12">
        <f t="shared" si="11"/>
        <v>6492107.1008000001</v>
      </c>
      <c r="X135" s="38"/>
      <c r="Y135" s="38">
        <f t="shared" si="12"/>
        <v>6.6218870595499712E-4</v>
      </c>
      <c r="Z135" s="53">
        <f t="shared" si="13"/>
        <v>6.6619356902892818E-4</v>
      </c>
      <c r="AB135" s="12">
        <f t="shared" si="14"/>
        <v>4299</v>
      </c>
      <c r="AC135" s="12">
        <f t="shared" si="16"/>
        <v>4325</v>
      </c>
      <c r="AE135" s="1"/>
    </row>
    <row r="136" spans="11:31" x14ac:dyDescent="0.3">
      <c r="K136" t="s">
        <v>97</v>
      </c>
      <c r="L136" s="6">
        <v>6673491.0028999997</v>
      </c>
      <c r="M136">
        <v>6310</v>
      </c>
      <c r="N136" s="13">
        <v>6012</v>
      </c>
      <c r="O136" s="56">
        <v>9.4553210564899998E-4</v>
      </c>
      <c r="S136" s="1">
        <f t="shared" si="15"/>
        <v>27</v>
      </c>
      <c r="T136" t="str">
        <f t="shared" si="5"/>
        <v/>
      </c>
      <c r="U136" s="1" t="str">
        <f t="shared" si="6"/>
        <v>W20</v>
      </c>
      <c r="V136" s="12"/>
      <c r="W136" s="12">
        <f t="shared" si="11"/>
        <v>6673491.0028999997</v>
      </c>
      <c r="X136" s="38"/>
      <c r="Y136" s="38">
        <f t="shared" si="12"/>
        <v>9.4553210564874627E-4</v>
      </c>
      <c r="Z136" s="53">
        <f t="shared" si="13"/>
        <v>9.5257489629303955E-4</v>
      </c>
      <c r="AB136" s="12">
        <f t="shared" si="14"/>
        <v>6310</v>
      </c>
      <c r="AC136" s="12">
        <f t="shared" si="16"/>
        <v>6357</v>
      </c>
      <c r="AE136" s="1"/>
    </row>
    <row r="137" spans="11:31" x14ac:dyDescent="0.3">
      <c r="K137" t="s">
        <v>133</v>
      </c>
      <c r="L137" s="6">
        <v>6179577.8386000004</v>
      </c>
      <c r="M137">
        <v>5873</v>
      </c>
      <c r="N137" s="13">
        <v>5811</v>
      </c>
      <c r="O137" s="56">
        <v>9.5038854649799999E-4</v>
      </c>
      <c r="S137" s="1">
        <f t="shared" si="15"/>
        <v>28</v>
      </c>
      <c r="T137" t="str">
        <f t="shared" si="5"/>
        <v/>
      </c>
      <c r="U137" s="1" t="str">
        <f t="shared" si="6"/>
        <v>W21</v>
      </c>
      <c r="V137" s="12"/>
      <c r="W137" s="12">
        <f t="shared" si="11"/>
        <v>6179577.8386000004</v>
      </c>
      <c r="X137" s="38"/>
      <c r="Y137" s="38">
        <f t="shared" si="12"/>
        <v>9.5038854649827397E-4</v>
      </c>
      <c r="Z137" s="53">
        <f t="shared" si="13"/>
        <v>9.5864153745203046E-4</v>
      </c>
      <c r="AB137" s="12">
        <f t="shared" si="14"/>
        <v>5873</v>
      </c>
      <c r="AC137" s="12">
        <f t="shared" si="16"/>
        <v>5924</v>
      </c>
      <c r="AE137" s="1"/>
    </row>
    <row r="138" spans="11:31" x14ac:dyDescent="0.3">
      <c r="K138" t="s">
        <v>266</v>
      </c>
      <c r="L138" s="6">
        <v>5751386.6359999999</v>
      </c>
      <c r="M138">
        <v>4415</v>
      </c>
      <c r="N138" s="13">
        <v>4478</v>
      </c>
      <c r="O138" s="56">
        <v>7.6764096719999998E-4</v>
      </c>
      <c r="S138" s="1">
        <f t="shared" si="15"/>
        <v>29</v>
      </c>
      <c r="T138" t="str">
        <f t="shared" si="5"/>
        <v/>
      </c>
      <c r="U138" s="1" t="str">
        <f t="shared" si="6"/>
        <v>W22</v>
      </c>
      <c r="V138" s="12"/>
      <c r="W138" s="12">
        <f t="shared" si="11"/>
        <v>5751386.6359999999</v>
      </c>
      <c r="X138" s="38"/>
      <c r="Y138" s="38">
        <f t="shared" si="12"/>
        <v>7.6764096719996627E-4</v>
      </c>
      <c r="Z138" s="53">
        <f t="shared" si="13"/>
        <v>7.752912962049036E-4</v>
      </c>
      <c r="AB138" s="12">
        <f t="shared" si="14"/>
        <v>4415</v>
      </c>
      <c r="AC138" s="12">
        <f t="shared" si="16"/>
        <v>4459</v>
      </c>
      <c r="AE138" s="1"/>
    </row>
    <row r="139" spans="11:31" x14ac:dyDescent="0.3">
      <c r="K139" t="s">
        <v>98</v>
      </c>
      <c r="L139" s="6">
        <v>6078190.6108999997</v>
      </c>
      <c r="M139">
        <v>4778</v>
      </c>
      <c r="N139" s="13">
        <v>4604</v>
      </c>
      <c r="O139" s="56">
        <v>7.8608920085999998E-4</v>
      </c>
      <c r="S139" s="1">
        <f t="shared" si="15"/>
        <v>30</v>
      </c>
      <c r="T139" t="str">
        <f t="shared" si="5"/>
        <v/>
      </c>
      <c r="U139" s="1" t="str">
        <f t="shared" si="6"/>
        <v>W23</v>
      </c>
      <c r="V139" s="12"/>
      <c r="W139" s="12">
        <f t="shared" si="11"/>
        <v>6078190.6108999997</v>
      </c>
      <c r="X139" s="38"/>
      <c r="Y139" s="38">
        <f t="shared" si="12"/>
        <v>7.8608920086047117E-4</v>
      </c>
      <c r="Z139" s="53">
        <f t="shared" si="13"/>
        <v>7.9497342372494698E-4</v>
      </c>
      <c r="AB139" s="12">
        <f t="shared" si="14"/>
        <v>4778</v>
      </c>
      <c r="AC139" s="12">
        <f t="shared" si="16"/>
        <v>4832</v>
      </c>
      <c r="AE139" s="1"/>
    </row>
    <row r="140" spans="11:31" x14ac:dyDescent="0.3">
      <c r="K140" t="s">
        <v>62</v>
      </c>
      <c r="L140" s="6">
        <v>6596933.8770000003</v>
      </c>
      <c r="M140">
        <v>4969</v>
      </c>
      <c r="N140" s="13">
        <v>4909</v>
      </c>
      <c r="O140" s="56">
        <v>7.5322871088999996E-4</v>
      </c>
      <c r="S140" s="1">
        <f t="shared" si="15"/>
        <v>31</v>
      </c>
      <c r="T140" t="str">
        <f t="shared" si="5"/>
        <v/>
      </c>
      <c r="U140" s="1" t="str">
        <f t="shared" si="6"/>
        <v>W24</v>
      </c>
      <c r="V140" s="12"/>
      <c r="W140" s="12">
        <f t="shared" si="11"/>
        <v>6596933.8770000003</v>
      </c>
      <c r="X140" s="38"/>
      <c r="Y140" s="38">
        <f t="shared" si="12"/>
        <v>7.5322871089010914E-4</v>
      </c>
      <c r="Z140" s="53">
        <f t="shared" si="13"/>
        <v>7.6262701639930345E-4</v>
      </c>
      <c r="AB140" s="12">
        <f t="shared" si="14"/>
        <v>4969</v>
      </c>
      <c r="AC140" s="12">
        <f t="shared" si="16"/>
        <v>5031</v>
      </c>
      <c r="AE140" s="1"/>
    </row>
    <row r="141" spans="11:31" x14ac:dyDescent="0.3">
      <c r="K141" t="s">
        <v>179</v>
      </c>
      <c r="L141" s="6">
        <v>6354802.1365</v>
      </c>
      <c r="M141">
        <v>5157</v>
      </c>
      <c r="N141" s="13">
        <v>5008</v>
      </c>
      <c r="O141" s="56">
        <v>8.11512284604E-4</v>
      </c>
      <c r="S141" s="1">
        <f t="shared" si="15"/>
        <v>32</v>
      </c>
      <c r="T141" t="str">
        <f t="shared" ref="T141:T168" si="17">IF(J141=0,"",J141)</f>
        <v/>
      </c>
      <c r="U141" s="1" t="str">
        <f t="shared" ref="U141:U168" si="18">RIGHT(K141,3)</f>
        <v>W25</v>
      </c>
      <c r="V141" s="12"/>
      <c r="W141" s="12">
        <f t="shared" si="11"/>
        <v>6354802.1365</v>
      </c>
      <c r="X141" s="38"/>
      <c r="Y141" s="38">
        <f t="shared" si="12"/>
        <v>8.1151228460439411E-4</v>
      </c>
      <c r="Z141" s="53">
        <f t="shared" si="13"/>
        <v>8.2268493773740017E-4</v>
      </c>
      <c r="AB141" s="12">
        <f t="shared" si="14"/>
        <v>5157</v>
      </c>
      <c r="AC141" s="12">
        <f t="shared" si="16"/>
        <v>5228</v>
      </c>
      <c r="AE141" s="1"/>
    </row>
    <row r="142" spans="11:31" x14ac:dyDescent="0.3">
      <c r="K142" t="s">
        <v>48</v>
      </c>
      <c r="L142" s="6">
        <v>5596078.0040999996</v>
      </c>
      <c r="M142">
        <v>3817</v>
      </c>
      <c r="N142" s="13">
        <v>3771</v>
      </c>
      <c r="O142" s="56">
        <v>6.8208484535100004E-4</v>
      </c>
      <c r="S142" s="1">
        <f t="shared" si="15"/>
        <v>33</v>
      </c>
      <c r="T142" t="str">
        <f t="shared" si="17"/>
        <v/>
      </c>
      <c r="U142" s="1" t="str">
        <f t="shared" si="18"/>
        <v>W26</v>
      </c>
      <c r="V142" s="12"/>
      <c r="W142" s="12">
        <f t="shared" si="11"/>
        <v>5596078.0040999996</v>
      </c>
      <c r="X142" s="38"/>
      <c r="Y142" s="38">
        <f t="shared" si="12"/>
        <v>6.8208484535123575E-4</v>
      </c>
      <c r="Z142" s="53">
        <f t="shared" si="13"/>
        <v>6.9227055040363829E-4</v>
      </c>
      <c r="AB142" s="12">
        <f t="shared" si="14"/>
        <v>3817</v>
      </c>
      <c r="AC142" s="12">
        <f t="shared" si="16"/>
        <v>3874</v>
      </c>
      <c r="AE142" s="1"/>
    </row>
    <row r="143" spans="11:31" x14ac:dyDescent="0.3">
      <c r="K143" t="s">
        <v>124</v>
      </c>
      <c r="L143" s="6">
        <v>6165943.7615999999</v>
      </c>
      <c r="M143">
        <v>6319</v>
      </c>
      <c r="N143" s="13">
        <v>6478</v>
      </c>
      <c r="O143" s="56">
        <v>1.0248228404799999E-3</v>
      </c>
      <c r="S143" s="1">
        <f t="shared" si="15"/>
        <v>34</v>
      </c>
      <c r="T143" t="str">
        <f t="shared" si="17"/>
        <v/>
      </c>
      <c r="U143" s="1" t="str">
        <f t="shared" si="18"/>
        <v>W27</v>
      </c>
      <c r="V143" s="12"/>
      <c r="W143" s="12">
        <f t="shared" si="11"/>
        <v>6165943.7615999999</v>
      </c>
      <c r="X143" s="38"/>
      <c r="Y143" s="38">
        <f t="shared" si="12"/>
        <v>1.0248228404795381E-3</v>
      </c>
      <c r="Z143" s="53">
        <f t="shared" si="13"/>
        <v>1.0415275014337068E-3</v>
      </c>
      <c r="AB143" s="12">
        <f t="shared" si="14"/>
        <v>6319</v>
      </c>
      <c r="AC143" s="12">
        <f t="shared" si="16"/>
        <v>6422</v>
      </c>
      <c r="AE143" s="1"/>
    </row>
    <row r="144" spans="11:31" x14ac:dyDescent="0.3">
      <c r="K144" t="s">
        <v>263</v>
      </c>
      <c r="L144" s="6">
        <v>6604041.7418</v>
      </c>
      <c r="M144">
        <v>5655</v>
      </c>
      <c r="N144" s="13">
        <v>5419</v>
      </c>
      <c r="O144" s="56">
        <v>8.5629380023600002E-4</v>
      </c>
      <c r="S144" s="1">
        <f t="shared" si="15"/>
        <v>35</v>
      </c>
      <c r="T144" t="str">
        <f t="shared" si="17"/>
        <v/>
      </c>
      <c r="U144" s="1" t="str">
        <f t="shared" si="18"/>
        <v>W28</v>
      </c>
      <c r="V144" s="12"/>
      <c r="W144" s="12">
        <f t="shared" si="11"/>
        <v>6604041.7418</v>
      </c>
      <c r="X144" s="38"/>
      <c r="Y144" s="38">
        <f t="shared" si="12"/>
        <v>8.5629380023553143E-4</v>
      </c>
      <c r="Z144" s="53">
        <f t="shared" si="13"/>
        <v>8.712846200805036E-4</v>
      </c>
      <c r="AB144" s="12">
        <f t="shared" si="14"/>
        <v>5655</v>
      </c>
      <c r="AC144" s="12">
        <f t="shared" si="16"/>
        <v>5754</v>
      </c>
      <c r="AE144" s="1"/>
    </row>
    <row r="145" spans="11:31" x14ac:dyDescent="0.3">
      <c r="K145" t="s">
        <v>214</v>
      </c>
      <c r="L145" s="6">
        <v>6827841.2194999997</v>
      </c>
      <c r="M145">
        <v>4783</v>
      </c>
      <c r="N145" s="13">
        <v>4553</v>
      </c>
      <c r="O145" s="56">
        <v>7.0051423960199998E-4</v>
      </c>
      <c r="S145" s="1">
        <f t="shared" si="15"/>
        <v>36</v>
      </c>
      <c r="T145" t="str">
        <f t="shared" si="17"/>
        <v/>
      </c>
      <c r="U145" s="1" t="str">
        <f t="shared" si="18"/>
        <v>W29</v>
      </c>
      <c r="V145" s="12"/>
      <c r="W145" s="12">
        <f t="shared" si="11"/>
        <v>6827841.2194999997</v>
      </c>
      <c r="X145" s="38"/>
      <c r="Y145" s="38">
        <f t="shared" si="12"/>
        <v>7.0051423960181913E-4</v>
      </c>
      <c r="Z145" s="53">
        <f t="shared" si="13"/>
        <v>7.1369556545675616E-4</v>
      </c>
      <c r="AB145" s="12">
        <f t="shared" si="14"/>
        <v>4783</v>
      </c>
      <c r="AC145" s="12">
        <f t="shared" si="16"/>
        <v>4873</v>
      </c>
      <c r="AE145" s="1"/>
    </row>
    <row r="146" spans="11:31" x14ac:dyDescent="0.3">
      <c r="K146" t="s">
        <v>376</v>
      </c>
      <c r="L146" s="6">
        <v>6340422.2709999997</v>
      </c>
      <c r="M146">
        <v>1902</v>
      </c>
      <c r="N146" s="13">
        <v>1873</v>
      </c>
      <c r="O146" s="56">
        <v>2.9998002005299999E-4</v>
      </c>
      <c r="S146" s="1">
        <f t="shared" si="15"/>
        <v>37</v>
      </c>
      <c r="T146" t="str">
        <f t="shared" si="17"/>
        <v/>
      </c>
      <c r="U146" s="1" t="str">
        <f t="shared" si="18"/>
        <v>W30</v>
      </c>
      <c r="V146" s="12"/>
      <c r="W146" s="12">
        <f t="shared" si="11"/>
        <v>6340422.2709999997</v>
      </c>
      <c r="X146" s="38"/>
      <c r="Y146" s="38">
        <f t="shared" si="12"/>
        <v>2.9998002005314706E-4</v>
      </c>
      <c r="Z146" s="53">
        <f t="shared" si="13"/>
        <v>3.0597331172613315E-4</v>
      </c>
      <c r="AB146" s="12">
        <f t="shared" si="14"/>
        <v>1902</v>
      </c>
      <c r="AC146" s="12">
        <f t="shared" si="16"/>
        <v>1940</v>
      </c>
      <c r="AE146" s="1"/>
    </row>
    <row r="147" spans="11:31" x14ac:dyDescent="0.3">
      <c r="K147" t="s">
        <v>232</v>
      </c>
      <c r="L147" s="6">
        <v>6256917.2912999997</v>
      </c>
      <c r="M147">
        <v>4014</v>
      </c>
      <c r="N147" s="13">
        <v>4074</v>
      </c>
      <c r="O147" s="56">
        <v>6.4152997604400002E-4</v>
      </c>
      <c r="S147" s="1">
        <f t="shared" si="15"/>
        <v>38</v>
      </c>
      <c r="T147" t="str">
        <f t="shared" si="17"/>
        <v/>
      </c>
      <c r="U147" s="1" t="str">
        <f t="shared" si="18"/>
        <v>W31</v>
      </c>
      <c r="V147" s="12"/>
      <c r="W147" s="12">
        <f t="shared" si="11"/>
        <v>6256917.2912999997</v>
      </c>
      <c r="X147" s="38"/>
      <c r="Y147" s="38">
        <f t="shared" si="12"/>
        <v>6.4152997604448292E-4</v>
      </c>
      <c r="Z147" s="53">
        <f t="shared" si="13"/>
        <v>6.5527476377239165E-4</v>
      </c>
      <c r="AB147" s="12">
        <f t="shared" si="14"/>
        <v>4014</v>
      </c>
      <c r="AC147" s="12">
        <f t="shared" si="16"/>
        <v>4100</v>
      </c>
      <c r="AE147" s="1"/>
    </row>
    <row r="148" spans="11:31" x14ac:dyDescent="0.3">
      <c r="K148" t="s">
        <v>377</v>
      </c>
      <c r="L148" s="6">
        <v>5772969.3476999998</v>
      </c>
      <c r="M148">
        <v>4864</v>
      </c>
      <c r="N148" s="13">
        <v>4988</v>
      </c>
      <c r="O148" s="56">
        <v>8.4254734557699998E-4</v>
      </c>
      <c r="S148" s="1">
        <f t="shared" si="15"/>
        <v>39</v>
      </c>
      <c r="T148" t="str">
        <f t="shared" si="17"/>
        <v/>
      </c>
      <c r="U148" s="1" t="str">
        <f t="shared" si="18"/>
        <v>W32</v>
      </c>
      <c r="V148" s="12"/>
      <c r="W148" s="12">
        <f t="shared" si="11"/>
        <v>5772969.3476999998</v>
      </c>
      <c r="X148" s="38"/>
      <c r="Y148" s="38">
        <f t="shared" si="12"/>
        <v>8.4254734557665011E-4</v>
      </c>
      <c r="Z148" s="53">
        <f t="shared" si="13"/>
        <v>8.6160166465835887E-4</v>
      </c>
      <c r="AB148" s="12">
        <f t="shared" si="14"/>
        <v>4864</v>
      </c>
      <c r="AC148" s="12">
        <f t="shared" si="16"/>
        <v>4974</v>
      </c>
      <c r="AE148" s="1"/>
    </row>
    <row r="149" spans="11:31" x14ac:dyDescent="0.3">
      <c r="K149" t="s">
        <v>142</v>
      </c>
      <c r="L149" s="6">
        <v>5893209.4945</v>
      </c>
      <c r="M149">
        <v>3455</v>
      </c>
      <c r="N149" s="13">
        <v>3610</v>
      </c>
      <c r="O149" s="56">
        <v>5.8626797557800002E-4</v>
      </c>
      <c r="S149" s="1">
        <f t="shared" si="15"/>
        <v>40</v>
      </c>
      <c r="T149" t="str">
        <f t="shared" si="17"/>
        <v/>
      </c>
      <c r="U149" s="1" t="str">
        <f t="shared" si="18"/>
        <v>W33</v>
      </c>
      <c r="V149" s="12"/>
      <c r="W149" s="12">
        <f t="shared" si="11"/>
        <v>5893209.4945</v>
      </c>
      <c r="X149" s="38"/>
      <c r="Y149" s="38">
        <f t="shared" si="12"/>
        <v>5.8626797557841343E-4</v>
      </c>
      <c r="Z149" s="53">
        <f t="shared" si="13"/>
        <v>6.0035198193818425E-4</v>
      </c>
      <c r="AB149" s="12">
        <f t="shared" si="14"/>
        <v>3455</v>
      </c>
      <c r="AC149" s="12">
        <f t="shared" si="16"/>
        <v>3538</v>
      </c>
      <c r="AE149" s="1"/>
    </row>
    <row r="150" spans="11:31" x14ac:dyDescent="0.3">
      <c r="K150" t="s">
        <v>378</v>
      </c>
      <c r="L150" s="6">
        <v>6168252.5977999996</v>
      </c>
      <c r="M150">
        <v>4993</v>
      </c>
      <c r="N150" s="13">
        <v>4819</v>
      </c>
      <c r="O150" s="56">
        <v>8.0946749842600004E-4</v>
      </c>
      <c r="S150" s="1">
        <f t="shared" si="15"/>
        <v>41</v>
      </c>
      <c r="T150" t="str">
        <f t="shared" si="17"/>
        <v/>
      </c>
      <c r="U150" s="1" t="str">
        <f t="shared" si="18"/>
        <v>W34</v>
      </c>
      <c r="V150" s="12"/>
      <c r="W150" s="12">
        <f t="shared" si="11"/>
        <v>6168252.5977999996</v>
      </c>
      <c r="X150" s="38"/>
      <c r="Y150" s="38">
        <f t="shared" si="12"/>
        <v>8.0946749842586354E-4</v>
      </c>
      <c r="Z150" s="53">
        <f t="shared" si="13"/>
        <v>8.2989467743681061E-4</v>
      </c>
      <c r="AB150" s="12">
        <f t="shared" si="14"/>
        <v>4993</v>
      </c>
      <c r="AC150" s="12">
        <f t="shared" si="16"/>
        <v>5119</v>
      </c>
      <c r="AE150" s="1"/>
    </row>
    <row r="151" spans="11:31" x14ac:dyDescent="0.3">
      <c r="K151" t="s">
        <v>379</v>
      </c>
      <c r="L151" s="6">
        <v>6295096.8210000005</v>
      </c>
      <c r="M151">
        <v>5218</v>
      </c>
      <c r="N151" s="13">
        <v>5023</v>
      </c>
      <c r="O151" s="56">
        <v>8.2889908580800005E-4</v>
      </c>
      <c r="S151" s="1">
        <f t="shared" si="15"/>
        <v>42</v>
      </c>
      <c r="T151" t="str">
        <f t="shared" si="17"/>
        <v/>
      </c>
      <c r="U151" s="1" t="str">
        <f t="shared" si="18"/>
        <v>W35</v>
      </c>
      <c r="V151" s="12"/>
      <c r="W151" s="12">
        <f t="shared" si="11"/>
        <v>6295096.8210000005</v>
      </c>
      <c r="X151" s="38"/>
      <c r="Y151" s="38">
        <f t="shared" si="12"/>
        <v>8.2889908580804016E-4</v>
      </c>
      <c r="Z151" s="53">
        <f t="shared" si="13"/>
        <v>8.508209090816142E-4</v>
      </c>
      <c r="AB151" s="12">
        <f t="shared" si="14"/>
        <v>5218</v>
      </c>
      <c r="AC151" s="12">
        <f t="shared" si="16"/>
        <v>5356</v>
      </c>
      <c r="AE151" s="1"/>
    </row>
    <row r="152" spans="11:31" x14ac:dyDescent="0.3">
      <c r="K152" t="s">
        <v>176</v>
      </c>
      <c r="L152" s="6">
        <v>6306092.5930000003</v>
      </c>
      <c r="M152">
        <v>4454</v>
      </c>
      <c r="N152" s="13">
        <v>4328</v>
      </c>
      <c r="O152" s="56">
        <v>7.0630107857000001E-4</v>
      </c>
      <c r="S152" s="1">
        <f t="shared" si="15"/>
        <v>43</v>
      </c>
      <c r="T152" t="str">
        <f t="shared" si="17"/>
        <v/>
      </c>
      <c r="U152" s="1" t="str">
        <f t="shared" si="18"/>
        <v>W36</v>
      </c>
      <c r="V152" s="12"/>
      <c r="W152" s="12">
        <f t="shared" si="11"/>
        <v>6306092.5930000003</v>
      </c>
      <c r="X152" s="38"/>
      <c r="Y152" s="38">
        <f t="shared" si="12"/>
        <v>7.0630107857028732E-4</v>
      </c>
      <c r="Z152" s="53">
        <f t="shared" si="13"/>
        <v>7.2596460208683769E-4</v>
      </c>
      <c r="AB152" s="12">
        <f t="shared" si="14"/>
        <v>4454</v>
      </c>
      <c r="AC152" s="12">
        <f t="shared" si="16"/>
        <v>4578</v>
      </c>
      <c r="AE152" s="1"/>
    </row>
    <row r="153" spans="11:31" x14ac:dyDescent="0.3">
      <c r="K153" t="s">
        <v>211</v>
      </c>
      <c r="L153" s="6">
        <v>5976321.2112999996</v>
      </c>
      <c r="M153">
        <v>3771</v>
      </c>
      <c r="N153" s="13">
        <v>3846</v>
      </c>
      <c r="O153" s="56">
        <v>6.3099018052599997E-4</v>
      </c>
      <c r="S153" s="1">
        <f t="shared" si="15"/>
        <v>44</v>
      </c>
      <c r="T153" t="str">
        <f t="shared" si="17"/>
        <v/>
      </c>
      <c r="U153" s="1" t="str">
        <f t="shared" si="18"/>
        <v>W37</v>
      </c>
      <c r="V153" s="12"/>
      <c r="W153" s="12">
        <f t="shared" si="11"/>
        <v>5976321.2112999996</v>
      </c>
      <c r="X153" s="38"/>
      <c r="Y153" s="38">
        <f t="shared" si="12"/>
        <v>6.3099018052607532E-4</v>
      </c>
      <c r="Z153" s="53">
        <f t="shared" si="13"/>
        <v>6.4922882536228379E-4</v>
      </c>
      <c r="AB153" s="12">
        <f t="shared" si="14"/>
        <v>3771</v>
      </c>
      <c r="AC153" s="12">
        <f t="shared" si="16"/>
        <v>3880</v>
      </c>
      <c r="AE153" s="1"/>
    </row>
    <row r="154" spans="11:31" x14ac:dyDescent="0.3">
      <c r="K154" t="s">
        <v>74</v>
      </c>
      <c r="L154" s="6">
        <v>5762812.5290000001</v>
      </c>
      <c r="M154">
        <v>4666</v>
      </c>
      <c r="N154" s="13">
        <v>4716</v>
      </c>
      <c r="O154" s="56">
        <v>8.0967409169000002E-4</v>
      </c>
      <c r="S154" s="1">
        <f t="shared" si="15"/>
        <v>45</v>
      </c>
      <c r="T154" t="str">
        <f t="shared" si="17"/>
        <v/>
      </c>
      <c r="U154" s="1" t="str">
        <f t="shared" si="18"/>
        <v>W38</v>
      </c>
      <c r="V154" s="12"/>
      <c r="W154" s="12">
        <f t="shared" si="11"/>
        <v>5762812.5290000001</v>
      </c>
      <c r="X154" s="38"/>
      <c r="Y154" s="38">
        <f t="shared" si="12"/>
        <v>8.0967409169037711E-4</v>
      </c>
      <c r="Z154" s="53">
        <f t="shared" si="13"/>
        <v>8.3414131134925903E-4</v>
      </c>
      <c r="AB154" s="12">
        <f t="shared" si="14"/>
        <v>4666</v>
      </c>
      <c r="AC154" s="12">
        <f t="shared" si="16"/>
        <v>4807</v>
      </c>
      <c r="AE154" s="1"/>
    </row>
    <row r="155" spans="11:31" x14ac:dyDescent="0.3">
      <c r="K155" t="s">
        <v>182</v>
      </c>
      <c r="L155" s="6">
        <v>5865979.9389000004</v>
      </c>
      <c r="M155">
        <v>4162</v>
      </c>
      <c r="N155" s="13">
        <v>4265</v>
      </c>
      <c r="O155" s="56">
        <v>7.0951487106200005E-4</v>
      </c>
      <c r="S155" s="1">
        <f t="shared" si="15"/>
        <v>46</v>
      </c>
      <c r="T155" t="str">
        <f t="shared" si="17"/>
        <v/>
      </c>
      <c r="U155" s="1" t="str">
        <f t="shared" si="18"/>
        <v>W39</v>
      </c>
      <c r="V155" s="12"/>
      <c r="W155" s="12">
        <f t="shared" si="11"/>
        <v>5865979.9389000004</v>
      </c>
      <c r="X155" s="38"/>
      <c r="Y155" s="38">
        <f t="shared" si="12"/>
        <v>7.0951487106184446E-4</v>
      </c>
      <c r="Z155" s="53">
        <f t="shared" si="13"/>
        <v>7.3184703062674147E-4</v>
      </c>
      <c r="AB155" s="12">
        <f t="shared" si="14"/>
        <v>4162</v>
      </c>
      <c r="AC155" s="12">
        <f t="shared" si="16"/>
        <v>4293</v>
      </c>
      <c r="AE155" s="1"/>
    </row>
    <row r="156" spans="11:31" x14ac:dyDescent="0.3">
      <c r="K156" t="s">
        <v>117</v>
      </c>
      <c r="L156" s="6">
        <v>5731081.7596000005</v>
      </c>
      <c r="M156">
        <v>5781</v>
      </c>
      <c r="N156" s="13">
        <v>6050</v>
      </c>
      <c r="O156" s="56">
        <v>1.0087100904319999E-3</v>
      </c>
      <c r="S156" s="1">
        <f t="shared" si="15"/>
        <v>47</v>
      </c>
      <c r="T156" t="str">
        <f t="shared" si="17"/>
        <v/>
      </c>
      <c r="U156" s="1" t="str">
        <f t="shared" si="18"/>
        <v>W40</v>
      </c>
      <c r="V156" s="12"/>
      <c r="W156" s="12">
        <f t="shared" si="11"/>
        <v>5731081.7596000005</v>
      </c>
      <c r="X156" s="38"/>
      <c r="Y156" s="38">
        <f t="shared" si="12"/>
        <v>1.0087100904321218E-3</v>
      </c>
      <c r="Z156" s="53">
        <f t="shared" si="13"/>
        <v>1.0418626448659746E-3</v>
      </c>
      <c r="AB156" s="12">
        <f t="shared" si="14"/>
        <v>5781</v>
      </c>
      <c r="AC156" s="12">
        <f t="shared" si="16"/>
        <v>5971</v>
      </c>
      <c r="AE156" s="1"/>
    </row>
    <row r="157" spans="11:31" x14ac:dyDescent="0.3">
      <c r="K157" t="s">
        <v>75</v>
      </c>
      <c r="L157" s="6">
        <v>6263596.3969000001</v>
      </c>
      <c r="M157">
        <v>6156</v>
      </c>
      <c r="N157" s="13">
        <v>5915</v>
      </c>
      <c r="O157" s="56">
        <v>9.8282194603799993E-4</v>
      </c>
      <c r="S157" s="1">
        <f t="shared" si="15"/>
        <v>48</v>
      </c>
      <c r="T157" t="str">
        <f t="shared" si="17"/>
        <v/>
      </c>
      <c r="U157" s="1" t="str">
        <f t="shared" si="18"/>
        <v>W41</v>
      </c>
      <c r="V157" s="12"/>
      <c r="W157" s="12">
        <f t="shared" si="11"/>
        <v>6263596.3969000001</v>
      </c>
      <c r="X157" s="38"/>
      <c r="Y157" s="38">
        <f t="shared" si="12"/>
        <v>9.8282194603834124E-4</v>
      </c>
      <c r="Z157" s="53">
        <f t="shared" si="13"/>
        <v>1.016349010474347E-3</v>
      </c>
      <c r="AB157" s="12">
        <f t="shared" si="14"/>
        <v>6156</v>
      </c>
      <c r="AC157" s="12">
        <f t="shared" si="16"/>
        <v>6366</v>
      </c>
      <c r="AE157" s="1"/>
    </row>
    <row r="158" spans="11:31" x14ac:dyDescent="0.3">
      <c r="K158" t="s">
        <v>224</v>
      </c>
      <c r="L158" s="6">
        <v>5360626.7098000003</v>
      </c>
      <c r="M158">
        <v>4975</v>
      </c>
      <c r="N158" s="13">
        <v>5063</v>
      </c>
      <c r="O158" s="56">
        <v>9.2806312942899998E-4</v>
      </c>
      <c r="S158" s="1">
        <f t="shared" si="15"/>
        <v>49</v>
      </c>
      <c r="T158" t="str">
        <f t="shared" si="17"/>
        <v/>
      </c>
      <c r="U158" s="1" t="str">
        <f t="shared" si="18"/>
        <v>W42</v>
      </c>
      <c r="V158" s="12"/>
      <c r="W158" s="12">
        <f t="shared" si="11"/>
        <v>5360626.7098000003</v>
      </c>
      <c r="X158" s="38"/>
      <c r="Y158" s="38">
        <f t="shared" si="12"/>
        <v>9.2806312942943421E-4</v>
      </c>
      <c r="Z158" s="53">
        <f t="shared" si="13"/>
        <v>9.6089511149568163E-4</v>
      </c>
      <c r="AB158" s="12">
        <f t="shared" si="14"/>
        <v>4975</v>
      </c>
      <c r="AC158" s="12">
        <f t="shared" si="16"/>
        <v>5151</v>
      </c>
      <c r="AE158" s="1"/>
    </row>
    <row r="159" spans="11:31" x14ac:dyDescent="0.3">
      <c r="K159" t="s">
        <v>248</v>
      </c>
      <c r="L159" s="6">
        <v>5963112.3712999998</v>
      </c>
      <c r="M159">
        <v>4895</v>
      </c>
      <c r="N159" s="13">
        <v>5119</v>
      </c>
      <c r="O159" s="56">
        <v>8.2088005310100001E-4</v>
      </c>
      <c r="S159" s="1">
        <f t="shared" si="15"/>
        <v>50</v>
      </c>
      <c r="T159" t="str">
        <f t="shared" si="17"/>
        <v/>
      </c>
      <c r="U159" s="1" t="str">
        <f t="shared" si="18"/>
        <v>W43</v>
      </c>
      <c r="V159" s="12"/>
      <c r="W159" s="12">
        <f t="shared" si="11"/>
        <v>5963112.3712999998</v>
      </c>
      <c r="X159" s="38"/>
      <c r="Y159" s="38">
        <f t="shared" si="12"/>
        <v>8.2088005310100435E-4</v>
      </c>
      <c r="Z159" s="53">
        <f t="shared" si="13"/>
        <v>8.5089793451164372E-4</v>
      </c>
      <c r="AB159" s="12">
        <f t="shared" si="14"/>
        <v>4895</v>
      </c>
      <c r="AC159" s="12">
        <f t="shared" si="16"/>
        <v>5074</v>
      </c>
      <c r="AE159" s="1"/>
    </row>
    <row r="160" spans="11:31" x14ac:dyDescent="0.3">
      <c r="K160" t="s">
        <v>217</v>
      </c>
      <c r="L160" s="6">
        <v>6203543.2078</v>
      </c>
      <c r="M160">
        <v>3788</v>
      </c>
      <c r="N160" s="13">
        <v>3627</v>
      </c>
      <c r="O160" s="56">
        <v>6.1061878238199995E-4</v>
      </c>
      <c r="S160" s="1">
        <f t="shared" si="15"/>
        <v>51</v>
      </c>
      <c r="T160" t="str">
        <f t="shared" si="17"/>
        <v/>
      </c>
      <c r="U160" s="1" t="str">
        <f t="shared" si="18"/>
        <v>W44</v>
      </c>
      <c r="V160" s="12"/>
      <c r="W160" s="12">
        <f t="shared" si="11"/>
        <v>6203543.2078</v>
      </c>
      <c r="X160" s="38"/>
      <c r="Y160" s="38">
        <f t="shared" si="12"/>
        <v>6.1061878238184491E-4</v>
      </c>
      <c r="Z160" s="53">
        <f t="shared" si="13"/>
        <v>6.3383132321156652E-4</v>
      </c>
      <c r="AB160" s="12">
        <f t="shared" si="14"/>
        <v>3788</v>
      </c>
      <c r="AC160" s="12">
        <f t="shared" si="16"/>
        <v>3932</v>
      </c>
      <c r="AE160" s="1"/>
    </row>
    <row r="161" spans="11:32" x14ac:dyDescent="0.3">
      <c r="K161" t="s">
        <v>380</v>
      </c>
      <c r="L161" s="6">
        <v>6526512.7152000004</v>
      </c>
      <c r="M161">
        <v>6159</v>
      </c>
      <c r="N161" s="13">
        <v>6276</v>
      </c>
      <c r="O161" s="56">
        <v>9.4368926695800003E-4</v>
      </c>
      <c r="S161" s="1">
        <f t="shared" si="15"/>
        <v>52</v>
      </c>
      <c r="T161" t="str">
        <f t="shared" si="17"/>
        <v/>
      </c>
      <c r="U161" s="1" t="str">
        <f t="shared" si="18"/>
        <v>W45</v>
      </c>
      <c r="V161" s="12"/>
      <c r="W161" s="12">
        <f t="shared" si="11"/>
        <v>6526512.7152000004</v>
      </c>
      <c r="X161" s="38"/>
      <c r="Y161" s="38">
        <f t="shared" si="12"/>
        <v>9.4368926695812948E-4</v>
      </c>
      <c r="Z161" s="53">
        <f t="shared" si="13"/>
        <v>9.8061557209482529E-4</v>
      </c>
      <c r="AB161" s="12">
        <f t="shared" si="14"/>
        <v>6159</v>
      </c>
      <c r="AC161" s="12">
        <f t="shared" si="16"/>
        <v>6400</v>
      </c>
      <c r="AE161" s="1"/>
    </row>
    <row r="162" spans="11:32" x14ac:dyDescent="0.3">
      <c r="K162" t="s">
        <v>280</v>
      </c>
      <c r="L162" s="6">
        <v>6082288.2516000001</v>
      </c>
      <c r="M162">
        <v>4571</v>
      </c>
      <c r="N162" s="13">
        <v>4696</v>
      </c>
      <c r="O162" s="56">
        <v>7.5152636818800003E-4</v>
      </c>
      <c r="S162" s="1">
        <f t="shared" si="15"/>
        <v>53</v>
      </c>
      <c r="T162" t="str">
        <f t="shared" si="17"/>
        <v/>
      </c>
      <c r="U162" s="1" t="str">
        <f t="shared" si="18"/>
        <v>W46</v>
      </c>
      <c r="V162" s="12"/>
      <c r="W162" s="12">
        <f t="shared" si="11"/>
        <v>6082288.2516000001</v>
      </c>
      <c r="X162" s="38"/>
      <c r="Y162" s="38">
        <f t="shared" si="12"/>
        <v>7.5152636818841289E-4</v>
      </c>
      <c r="Z162" s="53">
        <f t="shared" si="13"/>
        <v>7.8194255241830933E-4</v>
      </c>
      <c r="AB162" s="12">
        <f t="shared" si="14"/>
        <v>4571</v>
      </c>
      <c r="AC162" s="12">
        <f t="shared" si="16"/>
        <v>4756</v>
      </c>
      <c r="AE162" s="1"/>
    </row>
    <row r="163" spans="11:32" x14ac:dyDescent="0.3">
      <c r="K163" t="s">
        <v>57</v>
      </c>
      <c r="L163" s="6">
        <v>6356139.4104000004</v>
      </c>
      <c r="M163">
        <v>4768</v>
      </c>
      <c r="N163" s="13">
        <v>4935</v>
      </c>
      <c r="O163" s="56">
        <v>7.5014087831299996E-4</v>
      </c>
      <c r="S163" s="1">
        <f t="shared" si="15"/>
        <v>54</v>
      </c>
      <c r="T163" t="str">
        <f t="shared" si="17"/>
        <v/>
      </c>
      <c r="U163" s="1" t="str">
        <f t="shared" si="18"/>
        <v>W47</v>
      </c>
      <c r="V163" s="12"/>
      <c r="W163" s="12">
        <f t="shared" si="11"/>
        <v>6356139.4104000004</v>
      </c>
      <c r="X163" s="38"/>
      <c r="Y163" s="38">
        <f t="shared" si="12"/>
        <v>7.5014087831341998E-4</v>
      </c>
      <c r="Z163" s="53">
        <f t="shared" si="13"/>
        <v>7.814491909779273E-4</v>
      </c>
      <c r="AB163" s="12">
        <f t="shared" si="14"/>
        <v>4768</v>
      </c>
      <c r="AC163" s="12">
        <f t="shared" si="16"/>
        <v>4967</v>
      </c>
      <c r="AE163" s="1"/>
    </row>
    <row r="164" spans="11:32" x14ac:dyDescent="0.3">
      <c r="K164" t="s">
        <v>164</v>
      </c>
      <c r="L164" s="6">
        <v>5928010.5613000002</v>
      </c>
      <c r="M164">
        <v>4378</v>
      </c>
      <c r="N164" s="13">
        <v>4590</v>
      </c>
      <c r="O164" s="56">
        <v>7.3852769908699998E-4</v>
      </c>
      <c r="S164" s="1">
        <f t="shared" si="15"/>
        <v>55</v>
      </c>
      <c r="T164" t="str">
        <f t="shared" si="17"/>
        <v/>
      </c>
      <c r="U164" s="1" t="str">
        <f t="shared" si="18"/>
        <v>W48</v>
      </c>
      <c r="V164" s="12"/>
      <c r="W164" s="12">
        <f t="shared" si="11"/>
        <v>5928010.5613000002</v>
      </c>
      <c r="X164" s="38"/>
      <c r="Y164" s="38">
        <f t="shared" si="12"/>
        <v>7.3852769908694523E-4</v>
      </c>
      <c r="Z164" s="53">
        <f t="shared" si="13"/>
        <v>7.7024154272064692E-4</v>
      </c>
      <c r="AB164" s="12">
        <f t="shared" si="14"/>
        <v>4378</v>
      </c>
      <c r="AC164" s="12">
        <f t="shared" si="16"/>
        <v>4566</v>
      </c>
      <c r="AE164" s="1"/>
    </row>
    <row r="165" spans="11:32" x14ac:dyDescent="0.3">
      <c r="K165" t="s">
        <v>72</v>
      </c>
      <c r="L165" s="6">
        <v>5791160.9561999999</v>
      </c>
      <c r="M165">
        <v>4373</v>
      </c>
      <c r="N165" s="13">
        <v>4497</v>
      </c>
      <c r="O165" s="56">
        <v>7.5511629413799999E-4</v>
      </c>
      <c r="S165" s="1">
        <f t="shared" si="15"/>
        <v>56</v>
      </c>
      <c r="T165" t="str">
        <f t="shared" si="17"/>
        <v/>
      </c>
      <c r="U165" s="1" t="str">
        <f t="shared" si="18"/>
        <v>W49</v>
      </c>
      <c r="V165" s="12"/>
      <c r="W165" s="12">
        <f t="shared" si="11"/>
        <v>5791160.9561999999</v>
      </c>
      <c r="X165" s="38"/>
      <c r="Y165" s="38">
        <f t="shared" si="12"/>
        <v>7.5511629413758203E-4</v>
      </c>
      <c r="Z165" s="53">
        <f t="shared" si="13"/>
        <v>7.8844294512513135E-4</v>
      </c>
      <c r="AB165" s="12">
        <f t="shared" si="14"/>
        <v>4373</v>
      </c>
      <c r="AC165" s="12">
        <f t="shared" si="16"/>
        <v>4566</v>
      </c>
      <c r="AE165" s="1"/>
    </row>
    <row r="166" spans="11:32" x14ac:dyDescent="0.3">
      <c r="K166" t="s">
        <v>68</v>
      </c>
      <c r="L166" s="6">
        <v>5820932.7449000003</v>
      </c>
      <c r="M166">
        <v>4127</v>
      </c>
      <c r="N166" s="13">
        <v>4074</v>
      </c>
      <c r="O166" s="56">
        <v>7.0899290214499996E-4</v>
      </c>
      <c r="S166" s="1">
        <f t="shared" si="15"/>
        <v>57</v>
      </c>
      <c r="T166" t="str">
        <f t="shared" si="17"/>
        <v/>
      </c>
      <c r="U166" s="1" t="str">
        <f t="shared" si="18"/>
        <v>W50</v>
      </c>
      <c r="V166" s="12"/>
      <c r="W166" s="12">
        <f t="shared" ref="W166:W168" si="19">L166</f>
        <v>5820932.7449000003</v>
      </c>
      <c r="X166" s="38"/>
      <c r="Y166" s="38">
        <f t="shared" si="12"/>
        <v>7.0899290214542735E-4</v>
      </c>
      <c r="Z166" s="53">
        <f t="shared" si="13"/>
        <v>7.4129013151381614E-4</v>
      </c>
      <c r="AB166" s="12">
        <f t="shared" si="14"/>
        <v>4127</v>
      </c>
      <c r="AC166" s="12">
        <f t="shared" si="16"/>
        <v>4315</v>
      </c>
      <c r="AE166" s="1"/>
    </row>
    <row r="167" spans="11:32" x14ac:dyDescent="0.3">
      <c r="K167" t="s">
        <v>285</v>
      </c>
      <c r="L167" s="6">
        <v>6490259.2638999997</v>
      </c>
      <c r="M167">
        <v>6036</v>
      </c>
      <c r="N167" s="13">
        <v>6040</v>
      </c>
      <c r="O167" s="56">
        <v>9.30009072761E-4</v>
      </c>
      <c r="S167" s="1">
        <f t="shared" si="15"/>
        <v>58</v>
      </c>
      <c r="T167" t="str">
        <f t="shared" si="17"/>
        <v/>
      </c>
      <c r="U167" s="1" t="str">
        <f t="shared" si="18"/>
        <v>W51</v>
      </c>
      <c r="V167" s="12"/>
      <c r="W167" s="12">
        <f t="shared" si="19"/>
        <v>6490259.2638999997</v>
      </c>
      <c r="X167" s="38"/>
      <c r="Y167" s="38">
        <f t="shared" ref="Y167:Y168" si="20">M167/W167</f>
        <v>9.3000907276128829E-4</v>
      </c>
      <c r="Z167" s="53">
        <f t="shared" ref="Z167:Z168" si="21">AC167/W167</f>
        <v>9.7345880081276003E-4</v>
      </c>
      <c r="AB167" s="12">
        <f t="shared" si="14"/>
        <v>6036</v>
      </c>
      <c r="AC167" s="12">
        <f t="shared" si="16"/>
        <v>6318</v>
      </c>
      <c r="AE167" s="1"/>
    </row>
    <row r="168" spans="11:32" x14ac:dyDescent="0.3">
      <c r="K168" t="s">
        <v>152</v>
      </c>
      <c r="L168" s="6">
        <v>6325754.0972999996</v>
      </c>
      <c r="M168">
        <v>4059</v>
      </c>
      <c r="N168" s="13">
        <v>4190</v>
      </c>
      <c r="O168" s="56">
        <v>6.4166262829200001E-4</v>
      </c>
      <c r="S168" s="1">
        <f t="shared" si="15"/>
        <v>59</v>
      </c>
      <c r="T168" t="str">
        <f t="shared" si="17"/>
        <v/>
      </c>
      <c r="U168" s="1" t="str">
        <f t="shared" si="18"/>
        <v>W52</v>
      </c>
      <c r="V168" s="12"/>
      <c r="W168" s="12">
        <f t="shared" si="19"/>
        <v>6325754.0972999996</v>
      </c>
      <c r="X168" s="38"/>
      <c r="Y168" s="38">
        <f t="shared" si="20"/>
        <v>6.4166262829161967E-4</v>
      </c>
      <c r="Z168" s="53">
        <f t="shared" si="21"/>
        <v>6.7248899254805379E-4</v>
      </c>
      <c r="AB168" s="12">
        <f t="shared" ref="AB168" si="22">M168</f>
        <v>4059</v>
      </c>
      <c r="AC168" s="12">
        <f t="shared" si="16"/>
        <v>4254</v>
      </c>
      <c r="AE168" s="1"/>
    </row>
    <row r="169" spans="11:32" x14ac:dyDescent="0.3">
      <c r="S169" s="1"/>
      <c r="AF16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ASU</vt:lpstr>
      <vt:lpstr>Dispatches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Harshit Nair</cp:lastModifiedBy>
  <cp:revision/>
  <dcterms:created xsi:type="dcterms:W3CDTF">2026-06-30T09:28:50Z</dcterms:created>
  <dcterms:modified xsi:type="dcterms:W3CDTF">2026-08-05T09:13:51Z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bd41d9-d1d6-4f41-bf46-97f0241fcca2_Enabled">
    <vt:lpwstr>true</vt:lpwstr>
  </property>
  <property fmtid="{D5CDD505-2E9C-101B-9397-08002B2CF9AE}" pid="3" name="MSIP_Label_a7bd41d9-d1d6-4f41-bf46-97f0241fcca2_SetDate">
    <vt:lpwstr>2026-06-30T09:29:13Z</vt:lpwstr>
  </property>
  <property fmtid="{D5CDD505-2E9C-101B-9397-08002B2CF9AE}" pid="4" name="MSIP_Label_a7bd41d9-d1d6-4f41-bf46-97f0241fcca2_Method">
    <vt:lpwstr>Privileged</vt:lpwstr>
  </property>
  <property fmtid="{D5CDD505-2E9C-101B-9397-08002B2CF9AE}" pid="5" name="MSIP_Label_a7bd41d9-d1d6-4f41-bf46-97f0241fcca2_Name">
    <vt:lpwstr>No Visual Label</vt:lpwstr>
  </property>
  <property fmtid="{D5CDD505-2E9C-101B-9397-08002B2CF9AE}" pid="6" name="MSIP_Label_a7bd41d9-d1d6-4f41-bf46-97f0241fcca2_SiteId">
    <vt:lpwstr>945c199a-83a2-4e80-9f8c-5a91be5752dd</vt:lpwstr>
  </property>
  <property fmtid="{D5CDD505-2E9C-101B-9397-08002B2CF9AE}" pid="7" name="MSIP_Label_a7bd41d9-d1d6-4f41-bf46-97f0241fcca2_ActionId">
    <vt:lpwstr>6f2044ea-22ba-4a2e-878e-c907a22faa0d</vt:lpwstr>
  </property>
  <property fmtid="{D5CDD505-2E9C-101B-9397-08002B2CF9AE}" pid="8" name="MSIP_Label_a7bd41d9-d1d6-4f41-bf46-97f0241fcca2_ContentBits">
    <vt:lpwstr>0</vt:lpwstr>
  </property>
  <property fmtid="{D5CDD505-2E9C-101B-9397-08002B2CF9AE}" pid="9" name="MSIP_Label_a7bd41d9-d1d6-4f41-bf46-97f0241fcca2_Tag">
    <vt:lpwstr>10, 0, 1, 2</vt:lpwstr>
  </property>
</Properties>
</file>