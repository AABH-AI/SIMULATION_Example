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it.nair\Desktop\"/>
    </mc:Choice>
  </mc:AlternateContent>
  <xr:revisionPtr revIDLastSave="0" documentId="13_ncr:1_{9C48DAD2-19BC-4263-AFFB-C1BA28A91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" i="1" l="1"/>
  <c r="AB168" i="1"/>
  <c r="W168" i="1"/>
  <c r="Y168" i="1" s="1"/>
  <c r="U168" i="1"/>
  <c r="T168" i="1"/>
  <c r="AB167" i="1"/>
  <c r="W167" i="1"/>
  <c r="Y167" i="1" s="1"/>
  <c r="U167" i="1"/>
  <c r="T167" i="1"/>
  <c r="AB166" i="1"/>
  <c r="W166" i="1"/>
  <c r="Y166" i="1" s="1"/>
  <c r="U166" i="1"/>
  <c r="T166" i="1"/>
  <c r="AB165" i="1"/>
  <c r="W165" i="1"/>
  <c r="Y165" i="1" s="1"/>
  <c r="U165" i="1"/>
  <c r="T165" i="1"/>
  <c r="AB164" i="1"/>
  <c r="W164" i="1"/>
  <c r="Y164" i="1" s="1"/>
  <c r="U164" i="1"/>
  <c r="T164" i="1"/>
  <c r="AB163" i="1"/>
  <c r="W163" i="1"/>
  <c r="Y163" i="1" s="1"/>
  <c r="U163" i="1"/>
  <c r="T163" i="1"/>
  <c r="AB162" i="1"/>
  <c r="W162" i="1"/>
  <c r="Y162" i="1" s="1"/>
  <c r="U162" i="1"/>
  <c r="T162" i="1"/>
  <c r="AB161" i="1"/>
  <c r="W161" i="1"/>
  <c r="Y161" i="1" s="1"/>
  <c r="U161" i="1"/>
  <c r="T161" i="1"/>
  <c r="AB160" i="1"/>
  <c r="W160" i="1"/>
  <c r="Y160" i="1" s="1"/>
  <c r="U160" i="1"/>
  <c r="T160" i="1"/>
  <c r="AB159" i="1"/>
  <c r="W159" i="1"/>
  <c r="Y159" i="1" s="1"/>
  <c r="U159" i="1"/>
  <c r="T159" i="1"/>
  <c r="AB158" i="1"/>
  <c r="W158" i="1"/>
  <c r="Y158" i="1" s="1"/>
  <c r="U158" i="1"/>
  <c r="T158" i="1"/>
  <c r="AB157" i="1"/>
  <c r="W157" i="1"/>
  <c r="Y157" i="1" s="1"/>
  <c r="U157" i="1"/>
  <c r="T157" i="1"/>
  <c r="AB156" i="1"/>
  <c r="W156" i="1"/>
  <c r="Y156" i="1" s="1"/>
  <c r="U156" i="1"/>
  <c r="T156" i="1"/>
  <c r="AB155" i="1"/>
  <c r="W155" i="1"/>
  <c r="Y155" i="1" s="1"/>
  <c r="U155" i="1"/>
  <c r="T155" i="1"/>
  <c r="AB154" i="1"/>
  <c r="W154" i="1"/>
  <c r="Y154" i="1" s="1"/>
  <c r="U154" i="1"/>
  <c r="T154" i="1"/>
  <c r="AB153" i="1"/>
  <c r="W153" i="1"/>
  <c r="Y153" i="1" s="1"/>
  <c r="U153" i="1"/>
  <c r="T153" i="1"/>
  <c r="AB152" i="1"/>
  <c r="W152" i="1"/>
  <c r="Y152" i="1" s="1"/>
  <c r="U152" i="1"/>
  <c r="T152" i="1"/>
  <c r="AB151" i="1"/>
  <c r="W151" i="1"/>
  <c r="Y151" i="1" s="1"/>
  <c r="U151" i="1"/>
  <c r="T151" i="1"/>
  <c r="AB150" i="1"/>
  <c r="W150" i="1"/>
  <c r="Y150" i="1" s="1"/>
  <c r="U150" i="1"/>
  <c r="T150" i="1"/>
  <c r="AB149" i="1"/>
  <c r="W149" i="1"/>
  <c r="Y149" i="1" s="1"/>
  <c r="U149" i="1"/>
  <c r="T149" i="1"/>
  <c r="AB148" i="1"/>
  <c r="W148" i="1"/>
  <c r="Y148" i="1" s="1"/>
  <c r="U148" i="1"/>
  <c r="T148" i="1"/>
  <c r="AB147" i="1"/>
  <c r="W147" i="1"/>
  <c r="Y147" i="1" s="1"/>
  <c r="U147" i="1"/>
  <c r="T147" i="1"/>
  <c r="AB146" i="1"/>
  <c r="W146" i="1"/>
  <c r="Y146" i="1" s="1"/>
  <c r="U146" i="1"/>
  <c r="T146" i="1"/>
  <c r="AB145" i="1"/>
  <c r="W145" i="1"/>
  <c r="Y145" i="1" s="1"/>
  <c r="U145" i="1"/>
  <c r="T145" i="1"/>
  <c r="AB144" i="1"/>
  <c r="W144" i="1"/>
  <c r="Y144" i="1" s="1"/>
  <c r="U144" i="1"/>
  <c r="T144" i="1"/>
  <c r="AB143" i="1"/>
  <c r="W143" i="1"/>
  <c r="Y143" i="1" s="1"/>
  <c r="U143" i="1"/>
  <c r="T143" i="1"/>
  <c r="AB142" i="1"/>
  <c r="W142" i="1"/>
  <c r="Y142" i="1" s="1"/>
  <c r="U142" i="1"/>
  <c r="T142" i="1"/>
  <c r="AB141" i="1"/>
  <c r="W141" i="1"/>
  <c r="Y141" i="1" s="1"/>
  <c r="U141" i="1"/>
  <c r="T141" i="1"/>
  <c r="AB140" i="1"/>
  <c r="W140" i="1"/>
  <c r="Y140" i="1" s="1"/>
  <c r="U140" i="1"/>
  <c r="T140" i="1"/>
  <c r="AB139" i="1"/>
  <c r="W139" i="1"/>
  <c r="Y139" i="1" s="1"/>
  <c r="U139" i="1"/>
  <c r="T139" i="1"/>
  <c r="AB138" i="1"/>
  <c r="W138" i="1"/>
  <c r="Y138" i="1" s="1"/>
  <c r="U138" i="1"/>
  <c r="T138" i="1"/>
  <c r="AB137" i="1"/>
  <c r="W137" i="1"/>
  <c r="Y137" i="1" s="1"/>
  <c r="U137" i="1"/>
  <c r="T137" i="1"/>
  <c r="AB136" i="1"/>
  <c r="W136" i="1"/>
  <c r="Y136" i="1" s="1"/>
  <c r="U136" i="1"/>
  <c r="T136" i="1"/>
  <c r="AB135" i="1"/>
  <c r="W135" i="1"/>
  <c r="Y135" i="1" s="1"/>
  <c r="U135" i="1"/>
  <c r="T135" i="1"/>
  <c r="AB134" i="1"/>
  <c r="W134" i="1"/>
  <c r="Y134" i="1" s="1"/>
  <c r="U134" i="1"/>
  <c r="T134" i="1"/>
  <c r="AB133" i="1"/>
  <c r="W133" i="1"/>
  <c r="Y133" i="1" s="1"/>
  <c r="U133" i="1"/>
  <c r="T133" i="1"/>
  <c r="AB132" i="1"/>
  <c r="W132" i="1"/>
  <c r="Y132" i="1" s="1"/>
  <c r="U132" i="1"/>
  <c r="T132" i="1"/>
  <c r="AB131" i="1"/>
  <c r="W131" i="1"/>
  <c r="Y131" i="1" s="1"/>
  <c r="U131" i="1"/>
  <c r="T131" i="1"/>
  <c r="AB130" i="1"/>
  <c r="W130" i="1"/>
  <c r="Y130" i="1" s="1"/>
  <c r="U130" i="1"/>
  <c r="T130" i="1"/>
  <c r="AB129" i="1"/>
  <c r="W129" i="1"/>
  <c r="Y129" i="1" s="1"/>
  <c r="U129" i="1"/>
  <c r="T129" i="1"/>
  <c r="AB128" i="1"/>
  <c r="W128" i="1"/>
  <c r="Y128" i="1" s="1"/>
  <c r="U128" i="1"/>
  <c r="T128" i="1"/>
  <c r="AB127" i="1"/>
  <c r="W127" i="1"/>
  <c r="Y127" i="1" s="1"/>
  <c r="U127" i="1"/>
  <c r="T127" i="1"/>
  <c r="AB126" i="1"/>
  <c r="W126" i="1"/>
  <c r="Y126" i="1" s="1"/>
  <c r="U126" i="1"/>
  <c r="T126" i="1"/>
  <c r="AB125" i="1"/>
  <c r="W125" i="1"/>
  <c r="Y125" i="1" s="1"/>
  <c r="U125" i="1"/>
  <c r="T125" i="1"/>
  <c r="AB124" i="1"/>
  <c r="W124" i="1"/>
  <c r="Y124" i="1" s="1"/>
  <c r="U124" i="1"/>
  <c r="T124" i="1"/>
  <c r="AB123" i="1"/>
  <c r="W123" i="1"/>
  <c r="Y123" i="1" s="1"/>
  <c r="U123" i="1"/>
  <c r="T123" i="1"/>
  <c r="AB122" i="1"/>
  <c r="W122" i="1"/>
  <c r="Y122" i="1" s="1"/>
  <c r="U122" i="1"/>
  <c r="T122" i="1"/>
  <c r="AB121" i="1"/>
  <c r="W121" i="1"/>
  <c r="Y121" i="1" s="1"/>
  <c r="U121" i="1"/>
  <c r="T121" i="1"/>
  <c r="AB120" i="1"/>
  <c r="W120" i="1"/>
  <c r="Y120" i="1" s="1"/>
  <c r="U120" i="1"/>
  <c r="T120" i="1"/>
  <c r="AB119" i="1"/>
  <c r="W119" i="1"/>
  <c r="Y119" i="1" s="1"/>
  <c r="U119" i="1"/>
  <c r="T119" i="1"/>
  <c r="AB118" i="1"/>
  <c r="W118" i="1"/>
  <c r="Y118" i="1" s="1"/>
  <c r="U118" i="1"/>
  <c r="T118" i="1"/>
  <c r="AB117" i="1"/>
  <c r="W117" i="1"/>
  <c r="Y117" i="1" s="1"/>
  <c r="U117" i="1"/>
  <c r="T117" i="1"/>
  <c r="AB116" i="1"/>
  <c r="W116" i="1"/>
  <c r="Y116" i="1" s="1"/>
  <c r="U116" i="1"/>
  <c r="T116" i="1"/>
  <c r="AB115" i="1"/>
  <c r="W115" i="1"/>
  <c r="Y115" i="1" s="1"/>
  <c r="U115" i="1"/>
  <c r="T115" i="1"/>
  <c r="AB114" i="1"/>
  <c r="W114" i="1"/>
  <c r="Y114" i="1" s="1"/>
  <c r="U114" i="1"/>
  <c r="T114" i="1"/>
  <c r="AB113" i="1"/>
  <c r="W113" i="1"/>
  <c r="Y113" i="1" s="1"/>
  <c r="U113" i="1"/>
  <c r="T113" i="1"/>
  <c r="AB112" i="1"/>
  <c r="W112" i="1"/>
  <c r="Y112" i="1" s="1"/>
  <c r="U112" i="1"/>
  <c r="T112" i="1"/>
  <c r="AB111" i="1"/>
  <c r="W111" i="1"/>
  <c r="Y111" i="1" s="1"/>
  <c r="U111" i="1"/>
  <c r="T111" i="1"/>
  <c r="AB110" i="1"/>
  <c r="W110" i="1"/>
  <c r="Y110" i="1" s="1"/>
  <c r="U110" i="1"/>
  <c r="T110" i="1"/>
  <c r="S110" i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AC109" i="1"/>
  <c r="AB109" i="1"/>
  <c r="W109" i="1"/>
  <c r="Y109" i="1" s="1"/>
  <c r="U109" i="1"/>
  <c r="T109" i="1"/>
  <c r="AC108" i="1"/>
  <c r="Z108" i="1" s="1"/>
  <c r="AB108" i="1"/>
  <c r="W108" i="1"/>
  <c r="Y108" i="1" s="1"/>
  <c r="U108" i="1"/>
  <c r="T108" i="1"/>
  <c r="AC107" i="1"/>
  <c r="Z107" i="1" s="1"/>
  <c r="AB107" i="1"/>
  <c r="W107" i="1"/>
  <c r="Y107" i="1" s="1"/>
  <c r="U107" i="1"/>
  <c r="T107" i="1"/>
  <c r="AC106" i="1"/>
  <c r="AB106" i="1"/>
  <c r="Z106" i="1"/>
  <c r="W106" i="1"/>
  <c r="Y106" i="1" s="1"/>
  <c r="U106" i="1"/>
  <c r="T106" i="1"/>
  <c r="AC105" i="1"/>
  <c r="AB105" i="1"/>
  <c r="W105" i="1"/>
  <c r="U105" i="1"/>
  <c r="T105" i="1"/>
  <c r="AC104" i="1"/>
  <c r="AB104" i="1"/>
  <c r="Y104" i="1"/>
  <c r="W104" i="1"/>
  <c r="U104" i="1"/>
  <c r="T104" i="1"/>
  <c r="AC103" i="1"/>
  <c r="AB103" i="1"/>
  <c r="W103" i="1"/>
  <c r="Y103" i="1" s="1"/>
  <c r="U103" i="1"/>
  <c r="T103" i="1"/>
  <c r="AC102" i="1"/>
  <c r="AB102" i="1"/>
  <c r="Z102" i="1"/>
  <c r="Y102" i="1"/>
  <c r="W102" i="1"/>
  <c r="U102" i="1"/>
  <c r="T102" i="1"/>
  <c r="AC101" i="1"/>
  <c r="AB101" i="1"/>
  <c r="Z101" i="1"/>
  <c r="Y101" i="1"/>
  <c r="V101" i="1"/>
  <c r="U101" i="1"/>
  <c r="T101" i="1"/>
  <c r="AC100" i="1"/>
  <c r="AB100" i="1"/>
  <c r="Z100" i="1"/>
  <c r="Y100" i="1"/>
  <c r="V100" i="1"/>
  <c r="U100" i="1"/>
  <c r="T100" i="1"/>
  <c r="AB99" i="1"/>
  <c r="Y99" i="1"/>
  <c r="V99" i="1"/>
  <c r="U99" i="1"/>
  <c r="T99" i="1"/>
  <c r="AB98" i="1"/>
  <c r="Y98" i="1"/>
  <c r="V98" i="1"/>
  <c r="U98" i="1"/>
  <c r="T98" i="1"/>
  <c r="AB97" i="1"/>
  <c r="Y97" i="1"/>
  <c r="V97" i="1"/>
  <c r="U97" i="1"/>
  <c r="T97" i="1"/>
  <c r="AB96" i="1"/>
  <c r="Y96" i="1"/>
  <c r="V96" i="1"/>
  <c r="U96" i="1"/>
  <c r="T96" i="1"/>
  <c r="AB95" i="1"/>
  <c r="Y95" i="1"/>
  <c r="V95" i="1"/>
  <c r="U95" i="1"/>
  <c r="T95" i="1"/>
  <c r="AB94" i="1"/>
  <c r="Y94" i="1"/>
  <c r="V94" i="1"/>
  <c r="U94" i="1"/>
  <c r="T94" i="1"/>
  <c r="AB93" i="1"/>
  <c r="Y93" i="1"/>
  <c r="V93" i="1"/>
  <c r="U93" i="1"/>
  <c r="T93" i="1"/>
  <c r="AB92" i="1"/>
  <c r="Y92" i="1"/>
  <c r="V92" i="1"/>
  <c r="U92" i="1"/>
  <c r="T92" i="1"/>
  <c r="AB91" i="1"/>
  <c r="Y91" i="1"/>
  <c r="V91" i="1"/>
  <c r="U91" i="1"/>
  <c r="T91" i="1"/>
  <c r="AB90" i="1"/>
  <c r="Y90" i="1"/>
  <c r="V90" i="1"/>
  <c r="U90" i="1"/>
  <c r="T90" i="1"/>
  <c r="AB89" i="1"/>
  <c r="Y89" i="1"/>
  <c r="V89" i="1"/>
  <c r="U89" i="1"/>
  <c r="T89" i="1"/>
  <c r="AB88" i="1"/>
  <c r="Y88" i="1"/>
  <c r="V88" i="1"/>
  <c r="U88" i="1"/>
  <c r="T88" i="1"/>
  <c r="AB87" i="1"/>
  <c r="Y87" i="1"/>
  <c r="V87" i="1"/>
  <c r="U87" i="1"/>
  <c r="T87" i="1"/>
  <c r="AB86" i="1"/>
  <c r="Y86" i="1"/>
  <c r="V86" i="1"/>
  <c r="U86" i="1"/>
  <c r="T86" i="1"/>
  <c r="AB85" i="1"/>
  <c r="Y85" i="1"/>
  <c r="V85" i="1"/>
  <c r="U85" i="1"/>
  <c r="T85" i="1"/>
  <c r="AB84" i="1"/>
  <c r="Y84" i="1"/>
  <c r="V84" i="1"/>
  <c r="U84" i="1"/>
  <c r="T84" i="1"/>
  <c r="AB83" i="1"/>
  <c r="Y83" i="1"/>
  <c r="V83" i="1"/>
  <c r="U83" i="1"/>
  <c r="T83" i="1"/>
  <c r="AB82" i="1"/>
  <c r="Y82" i="1"/>
  <c r="V82" i="1"/>
  <c r="U82" i="1"/>
  <c r="T82" i="1"/>
  <c r="AB81" i="1"/>
  <c r="Y81" i="1"/>
  <c r="V81" i="1"/>
  <c r="U81" i="1"/>
  <c r="T81" i="1"/>
  <c r="AB80" i="1"/>
  <c r="Y80" i="1"/>
  <c r="V80" i="1"/>
  <c r="U80" i="1"/>
  <c r="T80" i="1"/>
  <c r="AB79" i="1"/>
  <c r="Y79" i="1"/>
  <c r="V79" i="1"/>
  <c r="U79" i="1"/>
  <c r="T79" i="1"/>
  <c r="AB78" i="1"/>
  <c r="Y78" i="1"/>
  <c r="V78" i="1"/>
  <c r="U78" i="1"/>
  <c r="T78" i="1"/>
  <c r="AB77" i="1"/>
  <c r="Y77" i="1"/>
  <c r="V77" i="1"/>
  <c r="U77" i="1"/>
  <c r="T77" i="1"/>
  <c r="AB76" i="1"/>
  <c r="Y76" i="1"/>
  <c r="V76" i="1"/>
  <c r="U76" i="1"/>
  <c r="T76" i="1"/>
  <c r="AB75" i="1"/>
  <c r="Y75" i="1"/>
  <c r="V75" i="1"/>
  <c r="U75" i="1"/>
  <c r="T75" i="1"/>
  <c r="AB74" i="1"/>
  <c r="Y74" i="1"/>
  <c r="V74" i="1"/>
  <c r="U74" i="1"/>
  <c r="T74" i="1"/>
  <c r="AB73" i="1"/>
  <c r="Y73" i="1"/>
  <c r="V73" i="1"/>
  <c r="U73" i="1"/>
  <c r="T73" i="1"/>
  <c r="AB72" i="1"/>
  <c r="Y72" i="1"/>
  <c r="V72" i="1"/>
  <c r="U72" i="1"/>
  <c r="T72" i="1"/>
  <c r="AB71" i="1"/>
  <c r="Y71" i="1"/>
  <c r="V71" i="1"/>
  <c r="U71" i="1"/>
  <c r="T71" i="1"/>
  <c r="AB70" i="1"/>
  <c r="Y70" i="1"/>
  <c r="V70" i="1"/>
  <c r="U70" i="1"/>
  <c r="T70" i="1"/>
  <c r="AB69" i="1"/>
  <c r="Y69" i="1"/>
  <c r="V69" i="1"/>
  <c r="U69" i="1"/>
  <c r="T69" i="1"/>
  <c r="AB68" i="1"/>
  <c r="Y68" i="1"/>
  <c r="V68" i="1"/>
  <c r="U68" i="1"/>
  <c r="T68" i="1"/>
  <c r="AB67" i="1"/>
  <c r="Y67" i="1"/>
  <c r="V67" i="1"/>
  <c r="U67" i="1"/>
  <c r="T67" i="1"/>
  <c r="AB66" i="1"/>
  <c r="Y66" i="1"/>
  <c r="V66" i="1"/>
  <c r="U66" i="1"/>
  <c r="T66" i="1"/>
  <c r="AB65" i="1"/>
  <c r="Y65" i="1"/>
  <c r="V65" i="1"/>
  <c r="U65" i="1"/>
  <c r="T65" i="1"/>
  <c r="AB64" i="1"/>
  <c r="Y64" i="1"/>
  <c r="V64" i="1"/>
  <c r="U64" i="1"/>
  <c r="T64" i="1"/>
  <c r="AB63" i="1"/>
  <c r="Y63" i="1"/>
  <c r="V63" i="1"/>
  <c r="U63" i="1"/>
  <c r="T63" i="1"/>
  <c r="AB62" i="1"/>
  <c r="Y62" i="1"/>
  <c r="V62" i="1"/>
  <c r="U62" i="1"/>
  <c r="T62" i="1"/>
  <c r="AB61" i="1"/>
  <c r="Y61" i="1"/>
  <c r="V61" i="1"/>
  <c r="U61" i="1"/>
  <c r="T61" i="1"/>
  <c r="AB60" i="1"/>
  <c r="Y60" i="1"/>
  <c r="V60" i="1"/>
  <c r="U60" i="1"/>
  <c r="T60" i="1"/>
  <c r="AB59" i="1"/>
  <c r="Y59" i="1"/>
  <c r="V59" i="1"/>
  <c r="U59" i="1"/>
  <c r="T59" i="1"/>
  <c r="AB58" i="1"/>
  <c r="Y58" i="1"/>
  <c r="V58" i="1"/>
  <c r="U58" i="1"/>
  <c r="T58" i="1"/>
  <c r="AB57" i="1"/>
  <c r="Y57" i="1"/>
  <c r="V57" i="1"/>
  <c r="U57" i="1"/>
  <c r="T57" i="1"/>
  <c r="AB56" i="1"/>
  <c r="Y56" i="1"/>
  <c r="V56" i="1"/>
  <c r="U56" i="1"/>
  <c r="T56" i="1"/>
  <c r="AB55" i="1"/>
  <c r="Y55" i="1"/>
  <c r="V55" i="1"/>
  <c r="U55" i="1"/>
  <c r="T55" i="1"/>
  <c r="AB54" i="1"/>
  <c r="Y54" i="1"/>
  <c r="V54" i="1"/>
  <c r="U54" i="1"/>
  <c r="T54" i="1"/>
  <c r="AB53" i="1"/>
  <c r="Y53" i="1"/>
  <c r="V53" i="1"/>
  <c r="U53" i="1"/>
  <c r="T53" i="1"/>
  <c r="AB52" i="1"/>
  <c r="Y52" i="1"/>
  <c r="V52" i="1"/>
  <c r="U52" i="1"/>
  <c r="T52" i="1"/>
  <c r="AB51" i="1"/>
  <c r="Y51" i="1"/>
  <c r="V51" i="1"/>
  <c r="U51" i="1"/>
  <c r="T51" i="1"/>
  <c r="AB50" i="1"/>
  <c r="Y50" i="1"/>
  <c r="V50" i="1"/>
  <c r="U50" i="1"/>
  <c r="T50" i="1"/>
  <c r="AB49" i="1"/>
  <c r="Y49" i="1"/>
  <c r="V49" i="1"/>
  <c r="U49" i="1"/>
  <c r="T49" i="1"/>
  <c r="AB48" i="1"/>
  <c r="Y48" i="1"/>
  <c r="V48" i="1"/>
  <c r="U48" i="1"/>
  <c r="T48" i="1"/>
  <c r="AB47" i="1"/>
  <c r="Y47" i="1"/>
  <c r="V47" i="1"/>
  <c r="U47" i="1"/>
  <c r="T47" i="1"/>
  <c r="AB46" i="1"/>
  <c r="Y46" i="1"/>
  <c r="V46" i="1"/>
  <c r="U46" i="1"/>
  <c r="T46" i="1"/>
  <c r="AB45" i="1"/>
  <c r="Y45" i="1"/>
  <c r="V45" i="1"/>
  <c r="U45" i="1"/>
  <c r="T45" i="1"/>
  <c r="AB44" i="1"/>
  <c r="Y44" i="1"/>
  <c r="V44" i="1"/>
  <c r="U44" i="1"/>
  <c r="T44" i="1"/>
  <c r="AB43" i="1"/>
  <c r="Y43" i="1"/>
  <c r="V43" i="1"/>
  <c r="U43" i="1"/>
  <c r="T43" i="1"/>
  <c r="AB42" i="1"/>
  <c r="Y42" i="1"/>
  <c r="V42" i="1"/>
  <c r="U42" i="1"/>
  <c r="T42" i="1"/>
  <c r="AB41" i="1"/>
  <c r="Y41" i="1"/>
  <c r="V41" i="1"/>
  <c r="U41" i="1"/>
  <c r="T41" i="1"/>
  <c r="AB40" i="1"/>
  <c r="Y40" i="1"/>
  <c r="V40" i="1"/>
  <c r="U40" i="1"/>
  <c r="T40" i="1"/>
  <c r="AB39" i="1"/>
  <c r="Y39" i="1"/>
  <c r="V39" i="1"/>
  <c r="U39" i="1"/>
  <c r="T39" i="1"/>
  <c r="AB38" i="1"/>
  <c r="Y38" i="1"/>
  <c r="V38" i="1"/>
  <c r="U38" i="1"/>
  <c r="T38" i="1"/>
  <c r="AB37" i="1"/>
  <c r="Y37" i="1"/>
  <c r="V37" i="1"/>
  <c r="U37" i="1"/>
  <c r="T37" i="1"/>
  <c r="AB36" i="1"/>
  <c r="Y36" i="1"/>
  <c r="V36" i="1"/>
  <c r="U36" i="1"/>
  <c r="T36" i="1"/>
  <c r="AB35" i="1"/>
  <c r="Y35" i="1"/>
  <c r="V35" i="1"/>
  <c r="U35" i="1"/>
  <c r="T35" i="1"/>
  <c r="AB34" i="1"/>
  <c r="Y34" i="1"/>
  <c r="V34" i="1"/>
  <c r="U34" i="1"/>
  <c r="T34" i="1"/>
  <c r="AB33" i="1"/>
  <c r="Y33" i="1"/>
  <c r="V33" i="1"/>
  <c r="U33" i="1"/>
  <c r="T33" i="1"/>
  <c r="AB32" i="1"/>
  <c r="Y32" i="1"/>
  <c r="V32" i="1"/>
  <c r="U32" i="1"/>
  <c r="T32" i="1"/>
  <c r="AB31" i="1"/>
  <c r="Y31" i="1"/>
  <c r="V31" i="1"/>
  <c r="U31" i="1"/>
  <c r="T31" i="1"/>
  <c r="AB30" i="1"/>
  <c r="Y30" i="1"/>
  <c r="V30" i="1"/>
  <c r="U30" i="1"/>
  <c r="T30" i="1"/>
  <c r="AB29" i="1"/>
  <c r="Y29" i="1"/>
  <c r="V29" i="1"/>
  <c r="U29" i="1"/>
  <c r="T29" i="1"/>
  <c r="AB28" i="1"/>
  <c r="Y28" i="1"/>
  <c r="V28" i="1"/>
  <c r="U28" i="1"/>
  <c r="T28" i="1"/>
  <c r="AB27" i="1"/>
  <c r="Y27" i="1"/>
  <c r="V27" i="1"/>
  <c r="U27" i="1"/>
  <c r="T27" i="1"/>
  <c r="AB26" i="1"/>
  <c r="Y26" i="1"/>
  <c r="V26" i="1"/>
  <c r="U26" i="1"/>
  <c r="T26" i="1"/>
  <c r="AB25" i="1"/>
  <c r="Y25" i="1"/>
  <c r="V25" i="1"/>
  <c r="U25" i="1"/>
  <c r="T25" i="1"/>
  <c r="AB24" i="1"/>
  <c r="Y24" i="1"/>
  <c r="V24" i="1"/>
  <c r="U24" i="1"/>
  <c r="T24" i="1"/>
  <c r="AB23" i="1"/>
  <c r="Y23" i="1"/>
  <c r="V23" i="1"/>
  <c r="U23" i="1"/>
  <c r="T23" i="1"/>
  <c r="AB22" i="1"/>
  <c r="Y22" i="1"/>
  <c r="V22" i="1"/>
  <c r="U22" i="1"/>
  <c r="T22" i="1"/>
  <c r="AB21" i="1"/>
  <c r="Y21" i="1"/>
  <c r="V21" i="1"/>
  <c r="U21" i="1"/>
  <c r="T21" i="1"/>
  <c r="AB20" i="1"/>
  <c r="Y20" i="1"/>
  <c r="V20" i="1"/>
  <c r="U20" i="1"/>
  <c r="T20" i="1"/>
  <c r="AB19" i="1"/>
  <c r="Y19" i="1"/>
  <c r="V19" i="1"/>
  <c r="U19" i="1"/>
  <c r="T19" i="1"/>
  <c r="AB18" i="1"/>
  <c r="Y18" i="1"/>
  <c r="V18" i="1"/>
  <c r="U18" i="1"/>
  <c r="T18" i="1"/>
  <c r="AB17" i="1"/>
  <c r="Y17" i="1"/>
  <c r="V17" i="1"/>
  <c r="U17" i="1"/>
  <c r="T17" i="1"/>
  <c r="AB16" i="1"/>
  <c r="Y16" i="1"/>
  <c r="V16" i="1"/>
  <c r="U16" i="1"/>
  <c r="T16" i="1"/>
  <c r="AB15" i="1"/>
  <c r="Y15" i="1"/>
  <c r="V15" i="1"/>
  <c r="U15" i="1"/>
  <c r="T15" i="1"/>
  <c r="AB14" i="1"/>
  <c r="Y14" i="1"/>
  <c r="V14" i="1"/>
  <c r="U14" i="1"/>
  <c r="T14" i="1"/>
  <c r="AB13" i="1"/>
  <c r="Y13" i="1"/>
  <c r="V13" i="1"/>
  <c r="U13" i="1"/>
  <c r="T13" i="1"/>
  <c r="AC4" i="1"/>
  <c r="Y4" i="1" s="1"/>
  <c r="W4" i="1"/>
  <c r="V4" i="1"/>
  <c r="AC3" i="1"/>
  <c r="Y3" i="1" s="1"/>
  <c r="W3" i="1"/>
  <c r="V3" i="1"/>
  <c r="X3" i="1" s="1"/>
  <c r="V2" i="1"/>
  <c r="W2" i="1" s="1"/>
  <c r="T2" i="1"/>
  <c r="AE4" i="1" s="1"/>
  <c r="Z104" i="1" l="1"/>
  <c r="Z103" i="1"/>
  <c r="Z109" i="1"/>
  <c r="AC2" i="1"/>
  <c r="X4" i="1"/>
  <c r="Z105" i="1"/>
  <c r="Y105" i="1"/>
  <c r="AD2" i="1"/>
  <c r="Z2" i="1" s="1"/>
  <c r="AE2" i="1"/>
  <c r="Y2" i="1"/>
  <c r="AA2" i="1" s="1"/>
  <c r="AA3" i="1"/>
  <c r="AE3" i="1"/>
  <c r="S108" i="1"/>
  <c r="AA4" i="1"/>
  <c r="AC168" i="1" l="1"/>
  <c r="Z168" i="1" s="1"/>
  <c r="AC167" i="1"/>
  <c r="Z167" i="1" s="1"/>
  <c r="AC165" i="1"/>
  <c r="Z165" i="1" s="1"/>
  <c r="AC163" i="1"/>
  <c r="Z163" i="1" s="1"/>
  <c r="AC161" i="1"/>
  <c r="Z161" i="1" s="1"/>
  <c r="AC159" i="1"/>
  <c r="Z159" i="1" s="1"/>
  <c r="AC157" i="1"/>
  <c r="Z157" i="1" s="1"/>
  <c r="AC155" i="1"/>
  <c r="Z155" i="1" s="1"/>
  <c r="AC153" i="1"/>
  <c r="Z153" i="1" s="1"/>
  <c r="AC151" i="1"/>
  <c r="Z151" i="1" s="1"/>
  <c r="AC149" i="1"/>
  <c r="Z149" i="1" s="1"/>
  <c r="AC147" i="1"/>
  <c r="Z147" i="1" s="1"/>
  <c r="AC145" i="1"/>
  <c r="Z145" i="1" s="1"/>
  <c r="AC143" i="1"/>
  <c r="Z143" i="1" s="1"/>
  <c r="AC141" i="1"/>
  <c r="Z141" i="1" s="1"/>
  <c r="AC139" i="1"/>
  <c r="Z139" i="1" s="1"/>
  <c r="AC137" i="1"/>
  <c r="Z137" i="1" s="1"/>
  <c r="AC135" i="1"/>
  <c r="Z135" i="1" s="1"/>
  <c r="AC133" i="1"/>
  <c r="Z133" i="1" s="1"/>
  <c r="AC131" i="1"/>
  <c r="Z131" i="1" s="1"/>
  <c r="AC129" i="1"/>
  <c r="Z129" i="1" s="1"/>
  <c r="AC127" i="1"/>
  <c r="Z127" i="1" s="1"/>
  <c r="AC125" i="1"/>
  <c r="Z125" i="1" s="1"/>
  <c r="AC124" i="1"/>
  <c r="Z124" i="1" s="1"/>
  <c r="AC123" i="1"/>
  <c r="Z123" i="1" s="1"/>
  <c r="AC122" i="1"/>
  <c r="Z122" i="1" s="1"/>
  <c r="AC121" i="1"/>
  <c r="Z121" i="1" s="1"/>
  <c r="AC120" i="1"/>
  <c r="Z120" i="1" s="1"/>
  <c r="AC119" i="1"/>
  <c r="Z119" i="1" s="1"/>
  <c r="AC118" i="1"/>
  <c r="Z118" i="1" s="1"/>
  <c r="AC117" i="1"/>
  <c r="AC116" i="1"/>
  <c r="Z116" i="1" s="1"/>
  <c r="AC115" i="1"/>
  <c r="Z115" i="1" s="1"/>
  <c r="AC114" i="1"/>
  <c r="Z114" i="1" s="1"/>
  <c r="AC113" i="1"/>
  <c r="Z113" i="1" s="1"/>
  <c r="AC112" i="1"/>
  <c r="Z112" i="1" s="1"/>
  <c r="AC111" i="1"/>
  <c r="Z111" i="1" s="1"/>
  <c r="AC110" i="1"/>
  <c r="AC166" i="1"/>
  <c r="Z166" i="1" s="1"/>
  <c r="AC164" i="1"/>
  <c r="Z164" i="1" s="1"/>
  <c r="AC162" i="1"/>
  <c r="Z162" i="1" s="1"/>
  <c r="AC160" i="1"/>
  <c r="Z160" i="1" s="1"/>
  <c r="AC158" i="1"/>
  <c r="Z158" i="1" s="1"/>
  <c r="AC156" i="1"/>
  <c r="Z156" i="1" s="1"/>
  <c r="AC154" i="1"/>
  <c r="Z154" i="1" s="1"/>
  <c r="AC152" i="1"/>
  <c r="Z152" i="1" s="1"/>
  <c r="AC150" i="1"/>
  <c r="Z150" i="1" s="1"/>
  <c r="AC148" i="1"/>
  <c r="Z148" i="1" s="1"/>
  <c r="AC146" i="1"/>
  <c r="Z146" i="1" s="1"/>
  <c r="AC144" i="1"/>
  <c r="Z144" i="1" s="1"/>
  <c r="AC142" i="1"/>
  <c r="Z142" i="1" s="1"/>
  <c r="AC140" i="1"/>
  <c r="Z140" i="1" s="1"/>
  <c r="AC138" i="1"/>
  <c r="Z138" i="1" s="1"/>
  <c r="AC136" i="1"/>
  <c r="Z136" i="1" s="1"/>
  <c r="AC134" i="1"/>
  <c r="Z134" i="1" s="1"/>
  <c r="AC132" i="1"/>
  <c r="Z132" i="1" s="1"/>
  <c r="AC130" i="1"/>
  <c r="Z130" i="1" s="1"/>
  <c r="AC128" i="1"/>
  <c r="Z128" i="1" s="1"/>
  <c r="AC126" i="1"/>
  <c r="Z126" i="1" s="1"/>
  <c r="AD4" i="1" l="1"/>
  <c r="Z117" i="1"/>
  <c r="AD3" i="1"/>
  <c r="Z110" i="1"/>
  <c r="AF4" i="1" l="1"/>
  <c r="Z4" i="1"/>
  <c r="AB4" i="1" s="1"/>
  <c r="AF3" i="1"/>
  <c r="Z3" i="1"/>
  <c r="AB3" i="1" s="1"/>
</calcChain>
</file>

<file path=xl/sharedStrings.xml><?xml version="1.0" encoding="utf-8"?>
<sst xmlns="http://schemas.openxmlformats.org/spreadsheetml/2006/main" count="321" uniqueCount="308">
  <si>
    <t>ASU End</t>
  </si>
  <si>
    <t>ASU-Avg</t>
  </si>
  <si>
    <t>Y/Y</t>
  </si>
  <si>
    <t>MDR DS</t>
  </si>
  <si>
    <t>MDR Adj</t>
  </si>
  <si>
    <t>MDR Target</t>
  </si>
  <si>
    <t>Delta</t>
  </si>
  <si>
    <t>Disp DS</t>
  </si>
  <si>
    <t>Disp Adj</t>
  </si>
  <si>
    <t>Disp Target</t>
  </si>
  <si>
    <t>FY25</t>
  </si>
  <si>
    <t>n/a</t>
  </si>
  <si>
    <t>Julius</t>
  </si>
  <si>
    <t>FY26</t>
  </si>
  <si>
    <t>Product Business Unit Type</t>
  </si>
  <si>
    <t>AOP Forecast</t>
  </si>
  <si>
    <t>FY27</t>
  </si>
  <si>
    <t>Region Name</t>
  </si>
  <si>
    <t>All</t>
  </si>
  <si>
    <t>Prod Bu Type</t>
  </si>
  <si>
    <t>CORE_UPSELL</t>
  </si>
  <si>
    <t>Region Desc</t>
  </si>
  <si>
    <t>Work Order Type</t>
  </si>
  <si>
    <t>CORE UPSELL</t>
  </si>
  <si>
    <t>FQM Flag</t>
  </si>
  <si>
    <t>GCFA TYPE</t>
  </si>
  <si>
    <t>NonGCFA</t>
  </si>
  <si>
    <t>Dim Service Type New</t>
  </si>
  <si>
    <t>(Multiple Items)</t>
  </si>
  <si>
    <t>Svc Type New</t>
  </si>
  <si>
    <t>Global LOB Name</t>
  </si>
  <si>
    <t>Gsd LOB BU</t>
  </si>
  <si>
    <t>Fiscal Year</t>
  </si>
  <si>
    <t>Fiscal Week</t>
  </si>
  <si>
    <t>Weekly Field ASUs (ALL)</t>
  </si>
  <si>
    <t>Work Order Actuals</t>
  </si>
  <si>
    <t>MDR (Field ASUs)</t>
  </si>
  <si>
    <t>ASU Field Closing Prd</t>
  </si>
  <si>
    <t>Dispatches No IQR</t>
  </si>
  <si>
    <t>Dispatches Adj</t>
  </si>
  <si>
    <t>MDR Weekly</t>
  </si>
  <si>
    <t>Cnt Wk</t>
  </si>
  <si>
    <t>FY</t>
  </si>
  <si>
    <t>FW</t>
  </si>
  <si>
    <t>ASU History</t>
  </si>
  <si>
    <t>ASU Pass 2</t>
  </si>
  <si>
    <t>2025-FY</t>
  </si>
  <si>
    <t>2025-W01</t>
  </si>
  <si>
    <t>FY2025</t>
  </si>
  <si>
    <t>FY2025W01</t>
  </si>
  <si>
    <t>2025-W02</t>
  </si>
  <si>
    <t>FY2025W02</t>
  </si>
  <si>
    <t>2025-W03</t>
  </si>
  <si>
    <t>FY2025W03</t>
  </si>
  <si>
    <t>2025-W04</t>
  </si>
  <si>
    <t>FY2025W04</t>
  </si>
  <si>
    <t>2025-W05</t>
  </si>
  <si>
    <t>FY2025W05</t>
  </si>
  <si>
    <t>2025-W06</t>
  </si>
  <si>
    <t>FY2025W06</t>
  </si>
  <si>
    <t>2025-W07</t>
  </si>
  <si>
    <t>FY2025W07</t>
  </si>
  <si>
    <t>2025-W08</t>
  </si>
  <si>
    <t>FY2025W08</t>
  </si>
  <si>
    <t>2025-W09</t>
  </si>
  <si>
    <t>FY2025W09</t>
  </si>
  <si>
    <t>2025-W10</t>
  </si>
  <si>
    <t>FY2025W10</t>
  </si>
  <si>
    <t>2025-W11</t>
  </si>
  <si>
    <t>FY2025W11</t>
  </si>
  <si>
    <t>2025-W12</t>
  </si>
  <si>
    <t>FY2025W12</t>
  </si>
  <si>
    <t>2025-W13</t>
  </si>
  <si>
    <t>FY2025W13</t>
  </si>
  <si>
    <t>2025-W14</t>
  </si>
  <si>
    <t>FY2025W14</t>
  </si>
  <si>
    <t>2025-W15</t>
  </si>
  <si>
    <t>FY2025W15</t>
  </si>
  <si>
    <t>2025-W16</t>
  </si>
  <si>
    <t>FY2025W16</t>
  </si>
  <si>
    <t>2025-W17</t>
  </si>
  <si>
    <t>FY2025W17</t>
  </si>
  <si>
    <t>2025-W18</t>
  </si>
  <si>
    <t>FY2025W18</t>
  </si>
  <si>
    <t>2025-W19</t>
  </si>
  <si>
    <t>FY2025W19</t>
  </si>
  <si>
    <t>2025-W20</t>
  </si>
  <si>
    <t>FY2025W20</t>
  </si>
  <si>
    <t>2025-W21</t>
  </si>
  <si>
    <t>FY2025W21</t>
  </si>
  <si>
    <t>2025-W22</t>
  </si>
  <si>
    <t>FY2025W22</t>
  </si>
  <si>
    <t>2025-W23</t>
  </si>
  <si>
    <t>FY2025W23</t>
  </si>
  <si>
    <t>2025-W24</t>
  </si>
  <si>
    <t>FY2025W24</t>
  </si>
  <si>
    <t>2025-W25</t>
  </si>
  <si>
    <t>FY2025W25</t>
  </si>
  <si>
    <t>2025-W26</t>
  </si>
  <si>
    <t>FY2025W26</t>
  </si>
  <si>
    <t>2025-W27</t>
  </si>
  <si>
    <t>FY2025W27</t>
  </si>
  <si>
    <t>2025-W28</t>
  </si>
  <si>
    <t>FY2025W28</t>
  </si>
  <si>
    <t>2025-W29</t>
  </si>
  <si>
    <t>FY2025W29</t>
  </si>
  <si>
    <t>2025-W30</t>
  </si>
  <si>
    <t>FY2025W30</t>
  </si>
  <si>
    <t>2025-W31</t>
  </si>
  <si>
    <t>FY2025W31</t>
  </si>
  <si>
    <t>2025-W32</t>
  </si>
  <si>
    <t>FY2025W32</t>
  </si>
  <si>
    <t>2025-W33</t>
  </si>
  <si>
    <t>FY2025W33</t>
  </si>
  <si>
    <t>2025-W34</t>
  </si>
  <si>
    <t>FY2025W34</t>
  </si>
  <si>
    <t>2025-W35</t>
  </si>
  <si>
    <t>FY2025W35</t>
  </si>
  <si>
    <t>2025-W36</t>
  </si>
  <si>
    <t>FY2025W36</t>
  </si>
  <si>
    <t>2025-W37</t>
  </si>
  <si>
    <t>FY2025W37</t>
  </si>
  <si>
    <t>2025-W38</t>
  </si>
  <si>
    <t>FY2025W38</t>
  </si>
  <si>
    <t>2025-W39</t>
  </si>
  <si>
    <t>FY2025W39</t>
  </si>
  <si>
    <t>2025-W40</t>
  </si>
  <si>
    <t>FY2025W40</t>
  </si>
  <si>
    <t>2025-W41</t>
  </si>
  <si>
    <t>FY2025W41</t>
  </si>
  <si>
    <t>2025-W42</t>
  </si>
  <si>
    <t>FY2025W42</t>
  </si>
  <si>
    <t>2025-W43</t>
  </si>
  <si>
    <t>FY2025W43</t>
  </si>
  <si>
    <t>2025-W44</t>
  </si>
  <si>
    <t>FY2025W44</t>
  </si>
  <si>
    <t>2025-W45</t>
  </si>
  <si>
    <t>FY2025W45</t>
  </si>
  <si>
    <t>2025-W46</t>
  </si>
  <si>
    <t>FY2025W46</t>
  </si>
  <si>
    <t>2025-W47</t>
  </si>
  <si>
    <t>FY2025W47</t>
  </si>
  <si>
    <t>2025-W48</t>
  </si>
  <si>
    <t>FY2025W48</t>
  </si>
  <si>
    <t>2025-W49</t>
  </si>
  <si>
    <t>FY2025W49</t>
  </si>
  <si>
    <t>2025-W50</t>
  </si>
  <si>
    <t>FY2025W50</t>
  </si>
  <si>
    <t>2025-W51</t>
  </si>
  <si>
    <t>FY2025W51</t>
  </si>
  <si>
    <t>2025-W52</t>
  </si>
  <si>
    <t>FY2025W52</t>
  </si>
  <si>
    <t>2026-FY</t>
  </si>
  <si>
    <t>2026-W01</t>
  </si>
  <si>
    <t>FY2026</t>
  </si>
  <si>
    <t>FY2026W01</t>
  </si>
  <si>
    <t>2026-W02</t>
  </si>
  <si>
    <t>FY2026W02</t>
  </si>
  <si>
    <t>2026-W03</t>
  </si>
  <si>
    <t>FY2026W03</t>
  </si>
  <si>
    <t>2026-W04</t>
  </si>
  <si>
    <t>FY2026W04</t>
  </si>
  <si>
    <t>2026-W05</t>
  </si>
  <si>
    <t>FY2026W05</t>
  </si>
  <si>
    <t>2026-W06</t>
  </si>
  <si>
    <t>FY2026W06</t>
  </si>
  <si>
    <t>2026-W07</t>
  </si>
  <si>
    <t>FY2026W07</t>
  </si>
  <si>
    <t>2026-W08</t>
  </si>
  <si>
    <t>FY2026W08</t>
  </si>
  <si>
    <t>2026-W09</t>
  </si>
  <si>
    <t>FY2026W09</t>
  </si>
  <si>
    <t>2026-W10</t>
  </si>
  <si>
    <t>FY2026W10</t>
  </si>
  <si>
    <t>2026-W11</t>
  </si>
  <si>
    <t>FY2026W11</t>
  </si>
  <si>
    <t>2026-W12</t>
  </si>
  <si>
    <t>FY2026W12</t>
  </si>
  <si>
    <t>2026-W13</t>
  </si>
  <si>
    <t>FY2026W13</t>
  </si>
  <si>
    <t>2026-W14</t>
  </si>
  <si>
    <t>FY2026W14</t>
  </si>
  <si>
    <t>2026-W15</t>
  </si>
  <si>
    <t>FY2026W15</t>
  </si>
  <si>
    <t>2026-W16</t>
  </si>
  <si>
    <t>FY2026W16</t>
  </si>
  <si>
    <t>2026-W17</t>
  </si>
  <si>
    <t>FY2026W17</t>
  </si>
  <si>
    <t>2026-W18</t>
  </si>
  <si>
    <t>FY2026W18</t>
  </si>
  <si>
    <t>2026-W19</t>
  </si>
  <si>
    <t>FY2026W19</t>
  </si>
  <si>
    <t>2026-W20</t>
  </si>
  <si>
    <t>FY2026W20</t>
  </si>
  <si>
    <t>2026-W21</t>
  </si>
  <si>
    <t>FY2026W21</t>
  </si>
  <si>
    <t>2026-W22</t>
  </si>
  <si>
    <t>FY2026W22</t>
  </si>
  <si>
    <t>2026-W23</t>
  </si>
  <si>
    <t>FY2026W23</t>
  </si>
  <si>
    <t>2026-W24</t>
  </si>
  <si>
    <t>FY2026W24</t>
  </si>
  <si>
    <t>2026-W25</t>
  </si>
  <si>
    <t>FY2026W25</t>
  </si>
  <si>
    <t>2026-W26</t>
  </si>
  <si>
    <t>FY2026W26</t>
  </si>
  <si>
    <t>2026-W27</t>
  </si>
  <si>
    <t>FY2026W27</t>
  </si>
  <si>
    <t>2026-W28</t>
  </si>
  <si>
    <t>FY2026W28</t>
  </si>
  <si>
    <t>2026-W29</t>
  </si>
  <si>
    <t>FY2026W29</t>
  </si>
  <si>
    <t>2026-W30</t>
  </si>
  <si>
    <t>FY2026W30</t>
  </si>
  <si>
    <t>2026-W31</t>
  </si>
  <si>
    <t>FY2026W31</t>
  </si>
  <si>
    <t>2026-W32</t>
  </si>
  <si>
    <t>FY2026W32</t>
  </si>
  <si>
    <t>2026-W33</t>
  </si>
  <si>
    <t>FY2026W33</t>
  </si>
  <si>
    <t>2026-W34</t>
  </si>
  <si>
    <t>FY2026W34</t>
  </si>
  <si>
    <t>2026-W35</t>
  </si>
  <si>
    <t>FY2026W35</t>
  </si>
  <si>
    <t>2026-W36</t>
  </si>
  <si>
    <t>FY2026W36</t>
  </si>
  <si>
    <t>2026-W37</t>
  </si>
  <si>
    <t>FY2026W37</t>
  </si>
  <si>
    <t>2026-W38</t>
  </si>
  <si>
    <t>FY2026W38</t>
  </si>
  <si>
    <t>2026-W39</t>
  </si>
  <si>
    <t>FY2026W39</t>
  </si>
  <si>
    <t>2026-W40</t>
  </si>
  <si>
    <t>FY2026W40</t>
  </si>
  <si>
    <t>2026-W41</t>
  </si>
  <si>
    <t>FY2026W41</t>
  </si>
  <si>
    <t>BTC</t>
  </si>
  <si>
    <t>2026-W42</t>
  </si>
  <si>
    <t>FY2026W42</t>
  </si>
  <si>
    <t>2026-W43</t>
  </si>
  <si>
    <t>FY2026W43</t>
  </si>
  <si>
    <t>2026-W44</t>
  </si>
  <si>
    <t>FY2026W44</t>
  </si>
  <si>
    <t>2026-W45</t>
  </si>
  <si>
    <t>FY2026W45</t>
  </si>
  <si>
    <t>FY2026W46</t>
  </si>
  <si>
    <t>FY2026W47</t>
  </si>
  <si>
    <t>FY2026W48</t>
  </si>
  <si>
    <t>FY2026W49</t>
  </si>
  <si>
    <t>FY2026W50</t>
  </si>
  <si>
    <t>FY2026W51</t>
  </si>
  <si>
    <t>FY2026W52</t>
  </si>
  <si>
    <t>FY2027</t>
  </si>
  <si>
    <t>FY2027W01</t>
  </si>
  <si>
    <t>FY2027W02</t>
  </si>
  <si>
    <t>FY2027W03</t>
  </si>
  <si>
    <t>FY2027W04</t>
  </si>
  <si>
    <t>FY2027W05</t>
  </si>
  <si>
    <t>FY2027W06</t>
  </si>
  <si>
    <t>FY2027W07</t>
  </si>
  <si>
    <t>FY2027W08</t>
  </si>
  <si>
    <t>FY2027W09</t>
  </si>
  <si>
    <t>FY2027W10</t>
  </si>
  <si>
    <t>FY2027W11</t>
  </si>
  <si>
    <t>FY2027W12</t>
  </si>
  <si>
    <t>FY2027W13</t>
  </si>
  <si>
    <t>FY2027W14</t>
  </si>
  <si>
    <t>FY2027W15</t>
  </si>
  <si>
    <t>FY2027W16</t>
  </si>
  <si>
    <t>FY2027W17</t>
  </si>
  <si>
    <t>FY2027W18</t>
  </si>
  <si>
    <t>FY2027W19</t>
  </si>
  <si>
    <t>FY2027W20</t>
  </si>
  <si>
    <t>FY2027W21</t>
  </si>
  <si>
    <t>FY2027W22</t>
  </si>
  <si>
    <t>FY2027W23</t>
  </si>
  <si>
    <t>FY2027W24</t>
  </si>
  <si>
    <t>FY2027W25</t>
  </si>
  <si>
    <t>FY2027W26</t>
  </si>
  <si>
    <t>FY2027W27</t>
  </si>
  <si>
    <t>FY2027W28</t>
  </si>
  <si>
    <t>FY2027W29</t>
  </si>
  <si>
    <t>FY2027W30</t>
  </si>
  <si>
    <t>FY2027W31</t>
  </si>
  <si>
    <t>FY2027W32</t>
  </si>
  <si>
    <t>FY2027W33</t>
  </si>
  <si>
    <t>FY2027W34</t>
  </si>
  <si>
    <t>FY2027W35</t>
  </si>
  <si>
    <t>FY2027W36</t>
  </si>
  <si>
    <t>FY2027W37</t>
  </si>
  <si>
    <t>FY2027W38</t>
  </si>
  <si>
    <t>FY2027W39</t>
  </si>
  <si>
    <t>FY2027W40</t>
  </si>
  <si>
    <t>FY2027W41</t>
  </si>
  <si>
    <t>FY2027W42</t>
  </si>
  <si>
    <t>FY2027W43</t>
  </si>
  <si>
    <t>FY2027W44</t>
  </si>
  <si>
    <t>FY2027W45</t>
  </si>
  <si>
    <t>FY2027W46</t>
  </si>
  <si>
    <t>FY2027W47</t>
  </si>
  <si>
    <t>FY2027W48</t>
  </si>
  <si>
    <t>FY2027W49</t>
  </si>
  <si>
    <t>FY2027W50</t>
  </si>
  <si>
    <t>FY2027W51</t>
  </si>
  <si>
    <t>FY2027W52</t>
  </si>
  <si>
    <t>Enterprise Group PBU</t>
  </si>
  <si>
    <t>Soft Fix</t>
  </si>
  <si>
    <t>Wearables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</si>
</sst>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>
      <alignment vertical="center"/>
    </xf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3" fontId="0" fillId="0" borderId="0" xfId="0" applyNumberFormat="1"/>
    <xf numFmtId="37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3" fontId="0" fillId="0" borderId="6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3" fontId="0" fillId="0" borderId="4" xfId="0" applyNumberFormat="1" applyBorder="1"/>
    <xf numFmtId="3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10" fontId="0" fillId="3" borderId="10" xfId="0" applyNumberForma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3" fontId="0" fillId="0" borderId="12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165" fontId="0" fillId="0" borderId="15" xfId="1" applyNumberFormat="1" applyFont="1" applyBorder="1" applyAlignment="1">
      <alignment horizontal="center"/>
    </xf>
    <xf numFmtId="164" fontId="0" fillId="3" borderId="13" xfId="1" applyNumberFormat="1" applyFont="1" applyFill="1" applyBorder="1" applyAlignment="1">
      <alignment horizontal="center"/>
    </xf>
    <xf numFmtId="3" fontId="0" fillId="0" borderId="14" xfId="0" applyNumberFormat="1" applyBorder="1"/>
    <xf numFmtId="3" fontId="0" fillId="0" borderId="15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6" fillId="0" borderId="0" xfId="1" applyFont="1" applyAlignment="1">
      <alignment horizontal="center"/>
    </xf>
    <xf numFmtId="165" fontId="0" fillId="0" borderId="0" xfId="0" applyNumberFormat="1"/>
    <xf numFmtId="0" fontId="0" fillId="0" borderId="14" xfId="0" applyBorder="1" applyAlignment="1">
      <alignment horizontal="center"/>
    </xf>
    <xf numFmtId="0" fontId="0" fillId="0" borderId="14" xfId="0" applyBorder="1"/>
    <xf numFmtId="0" fontId="7" fillId="0" borderId="0" xfId="0" applyFont="1" applyAlignment="1">
      <alignment horizontal="center"/>
    </xf>
    <xf numFmtId="165" fontId="0" fillId="0" borderId="14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 2 Manua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9"/>
  <sheetViews>
    <sheetView tabSelected="1" topLeftCell="L1" workbookViewId="0">
      <pane ySplit="10" topLeftCell="A11" activePane="bottomLeft" state="frozen"/>
      <selection pane="bottomLeft" activeCell="X10" sqref="X10"/>
    </sheetView>
  </sheetViews>
  <sheetFormatPr defaultRowHeight="14.4" x14ac:dyDescent="0.3"/>
  <cols>
    <col min="1" max="1" width="25.21875" bestFit="1" customWidth="1"/>
    <col min="2" max="2" width="28.44140625" bestFit="1" customWidth="1"/>
    <col min="3" max="3" width="22.44140625" bestFit="1" customWidth="1"/>
    <col min="4" max="4" width="18.5546875" bestFit="1" customWidth="1"/>
    <col min="5" max="5" width="16.44140625" bestFit="1" customWidth="1"/>
    <col min="10" max="10" width="13.21875" bestFit="1" customWidth="1"/>
    <col min="11" max="11" width="28.44140625" bestFit="1" customWidth="1"/>
    <col min="12" max="12" width="19.77734375" bestFit="1" customWidth="1"/>
    <col min="13" max="13" width="17.5546875" bestFit="1" customWidth="1"/>
    <col min="14" max="14" width="14.21875" bestFit="1" customWidth="1"/>
    <col min="15" max="15" width="12.44140625" bestFit="1" customWidth="1"/>
    <col min="19" max="19" width="8.21875" bestFit="1" customWidth="1"/>
    <col min="20" max="20" width="12.5546875" bestFit="1" customWidth="1"/>
    <col min="21" max="21" width="5.21875" bestFit="1" customWidth="1"/>
    <col min="22" max="22" width="11.44140625" bestFit="1" customWidth="1"/>
    <col min="23" max="23" width="10.5546875" bestFit="1" customWidth="1"/>
    <col min="24" max="24" width="6" bestFit="1" customWidth="1"/>
    <col min="25" max="25" width="8.44140625" bestFit="1" customWidth="1"/>
    <col min="26" max="26" width="9" bestFit="1" customWidth="1"/>
    <col min="27" max="27" width="11.77734375" bestFit="1" customWidth="1"/>
    <col min="28" max="28" width="7.77734375" bestFit="1" customWidth="1"/>
    <col min="29" max="29" width="8.21875" bestFit="1" customWidth="1"/>
    <col min="30" max="30" width="8.5546875" bestFit="1" customWidth="1"/>
    <col min="31" max="31" width="11.21875" bestFit="1" customWidth="1"/>
    <col min="32" max="32" width="5.77734375" bestFit="1" customWidth="1"/>
  </cols>
  <sheetData>
    <row r="1" spans="1:33" x14ac:dyDescent="0.3">
      <c r="A1" s="1"/>
      <c r="B1" s="1"/>
      <c r="C1" s="1"/>
      <c r="S1" s="6"/>
      <c r="V1" s="7" t="s">
        <v>0</v>
      </c>
      <c r="W1" s="8" t="s">
        <v>1</v>
      </c>
      <c r="X1" s="9" t="s">
        <v>2</v>
      </c>
      <c r="Y1" s="10" t="s">
        <v>3</v>
      </c>
      <c r="Z1" s="11" t="s">
        <v>4</v>
      </c>
      <c r="AA1" s="10" t="s">
        <v>5</v>
      </c>
      <c r="AB1" s="12" t="s">
        <v>6</v>
      </c>
      <c r="AC1" s="10" t="s">
        <v>7</v>
      </c>
      <c r="AD1" s="11" t="s">
        <v>8</v>
      </c>
      <c r="AE1" s="10" t="s">
        <v>9</v>
      </c>
      <c r="AF1" s="12" t="s">
        <v>6</v>
      </c>
    </row>
    <row r="2" spans="1:33" x14ac:dyDescent="0.3">
      <c r="S2" s="6"/>
      <c r="T2" s="13" t="str">
        <f>B10</f>
        <v>Wearables</v>
      </c>
      <c r="U2" s="14" t="s">
        <v>10</v>
      </c>
      <c r="V2" s="15">
        <f>V64</f>
        <v>6553990.0395999998</v>
      </c>
      <c r="W2" s="16">
        <f>V2</f>
        <v>6553990.0395999998</v>
      </c>
      <c r="X2" s="17" t="s">
        <v>11</v>
      </c>
      <c r="Y2" s="18">
        <f>AC2/W2/52</f>
        <v>9.1070183707435881E-4</v>
      </c>
      <c r="Z2" s="19">
        <f>AD2/W2/52</f>
        <v>9.1070183707435881E-4</v>
      </c>
      <c r="AA2" s="20">
        <f>Y2</f>
        <v>9.1070183707435881E-4</v>
      </c>
      <c r="AB2" s="21"/>
      <c r="AC2" s="15">
        <f>SUM(AB13:AB64)</f>
        <v>310374</v>
      </c>
      <c r="AD2" s="22">
        <f>AC2</f>
        <v>310374</v>
      </c>
      <c r="AE2" s="23">
        <f>AC2</f>
        <v>310374</v>
      </c>
      <c r="AF2" s="21"/>
    </row>
    <row r="3" spans="1:33" x14ac:dyDescent="0.3">
      <c r="A3" s="2" t="s">
        <v>12</v>
      </c>
      <c r="S3" s="6"/>
      <c r="T3" s="24"/>
      <c r="U3" s="25" t="s">
        <v>13</v>
      </c>
      <c r="V3" s="26">
        <f>W116</f>
        <v>7199820.5182999996</v>
      </c>
      <c r="W3" s="27">
        <f>AVERAGE(V65:W116)</f>
        <v>6729962.8321211534</v>
      </c>
      <c r="X3" s="28">
        <f>V3/V2-1</f>
        <v>9.8540045803825471E-2</v>
      </c>
      <c r="Y3" s="29">
        <f>AC3/W3/52</f>
        <v>7.7766174137028257E-4</v>
      </c>
      <c r="Z3" s="30">
        <f>AD3/W3/52</f>
        <v>7.7280687400502277E-4</v>
      </c>
      <c r="AA3" s="31" t="e">
        <f>VLOOKUP($T$2,'[1]Pass 2 Manual'!$N$76:$P$119,2,0)</f>
        <v>#N/A</v>
      </c>
      <c r="AB3" s="32" t="e">
        <f>Z3/AA3-1</f>
        <v>#N/A</v>
      </c>
      <c r="AC3" s="26">
        <f>SUM(AB65:AB116)</f>
        <v>272149</v>
      </c>
      <c r="AD3" s="4">
        <f>SUM(AB65:AB101,AC102:AC116)</f>
        <v>270450</v>
      </c>
      <c r="AE3" s="33" t="e">
        <f>VLOOKUP($T$2,'[1]Pass 2 Manual'!$N$129:$P$173,2,0)</f>
        <v>#N/A</v>
      </c>
      <c r="AF3" s="32" t="e">
        <f>AD3/AE3-1</f>
        <v>#N/A</v>
      </c>
    </row>
    <row r="4" spans="1:33" x14ac:dyDescent="0.3">
      <c r="A4" t="s">
        <v>14</v>
      </c>
      <c r="B4" t="s">
        <v>305</v>
      </c>
      <c r="J4" s="2" t="s">
        <v>15</v>
      </c>
      <c r="S4" s="6"/>
      <c r="T4" s="34"/>
      <c r="U4" s="35" t="s">
        <v>16</v>
      </c>
      <c r="V4" s="36">
        <f>W168</f>
        <v>6325754.0972999996</v>
      </c>
      <c r="W4" s="37">
        <f>AVERAGE(W117:W168)</f>
        <v>6219223.9554288452</v>
      </c>
      <c r="X4" s="38">
        <f>V4/V3-1</f>
        <v>-0.12140114031708971</v>
      </c>
      <c r="Y4" s="39">
        <f>AC4/W4/52</f>
        <v>7.6795074860402913E-4</v>
      </c>
      <c r="Z4" s="40">
        <f>AD4/W4/52</f>
        <v>7.7983697065566436E-4</v>
      </c>
      <c r="AA4" s="41" t="e">
        <f>VLOOKUP($T$2,'[1]Pass 2 Manual'!$N$76:$P$119,3,0)</f>
        <v>#N/A</v>
      </c>
      <c r="AB4" s="42" t="e">
        <f>Z4/AA4-1</f>
        <v>#N/A</v>
      </c>
      <c r="AC4" s="36">
        <f>SUM(AB117:AB168)</f>
        <v>248355</v>
      </c>
      <c r="AD4" s="43">
        <f>SUM(AC117:AC168)</f>
        <v>252199</v>
      </c>
      <c r="AE4" s="44" t="e">
        <f>VLOOKUP($T$2,'[1]Pass 2 Manual'!$N$129:$P$173,3,0)</f>
        <v>#N/A</v>
      </c>
      <c r="AF4" s="42" t="e">
        <f>AD4/AE4-1</f>
        <v>#N/A</v>
      </c>
    </row>
    <row r="5" spans="1:33" x14ac:dyDescent="0.3">
      <c r="A5" t="s">
        <v>17</v>
      </c>
      <c r="B5" t="s">
        <v>18</v>
      </c>
      <c r="J5" t="s">
        <v>19</v>
      </c>
      <c r="K5" t="s">
        <v>305</v>
      </c>
      <c r="S5" s="6"/>
      <c r="AG5" s="6"/>
    </row>
    <row r="6" spans="1:33" x14ac:dyDescent="0.3">
      <c r="A6" t="s">
        <v>20</v>
      </c>
      <c r="B6" t="s">
        <v>18</v>
      </c>
      <c r="J6" t="s">
        <v>21</v>
      </c>
      <c r="K6" t="s">
        <v>18</v>
      </c>
      <c r="S6" s="6"/>
      <c r="AG6" s="6"/>
    </row>
    <row r="7" spans="1:33" x14ac:dyDescent="0.3">
      <c r="A7" t="s">
        <v>22</v>
      </c>
      <c r="B7" t="s">
        <v>306</v>
      </c>
      <c r="J7" t="s">
        <v>23</v>
      </c>
      <c r="K7" t="s">
        <v>18</v>
      </c>
      <c r="S7" s="6"/>
      <c r="AA7" s="6"/>
      <c r="AB7" s="6"/>
      <c r="AC7" s="6"/>
      <c r="AG7" s="6"/>
    </row>
    <row r="8" spans="1:33" x14ac:dyDescent="0.3">
      <c r="A8" t="s">
        <v>24</v>
      </c>
      <c r="J8" t="s">
        <v>25</v>
      </c>
      <c r="K8" t="s">
        <v>26</v>
      </c>
      <c r="S8" s="6"/>
      <c r="V8" s="4"/>
      <c r="Y8" s="45"/>
      <c r="AA8" s="45"/>
      <c r="AB8" s="45"/>
      <c r="AC8" s="46"/>
      <c r="AD8" s="27"/>
      <c r="AE8" s="27"/>
      <c r="AF8" s="46"/>
      <c r="AG8" s="6"/>
    </row>
    <row r="9" spans="1:33" x14ac:dyDescent="0.3">
      <c r="A9" t="s">
        <v>27</v>
      </c>
      <c r="B9" t="s">
        <v>28</v>
      </c>
      <c r="J9" t="s">
        <v>29</v>
      </c>
      <c r="K9" t="s">
        <v>28</v>
      </c>
      <c r="S9" s="6"/>
      <c r="U9" s="46"/>
      <c r="V9" s="46"/>
      <c r="W9" s="47"/>
      <c r="X9" s="47"/>
      <c r="Y9" s="46"/>
      <c r="Z9" s="46"/>
      <c r="AA9" s="46"/>
      <c r="AB9" s="46"/>
      <c r="AC9" s="46"/>
      <c r="AD9" s="46"/>
      <c r="AF9" s="6"/>
    </row>
    <row r="10" spans="1:33" x14ac:dyDescent="0.3">
      <c r="A10" t="s">
        <v>30</v>
      </c>
      <c r="B10" s="3" t="s">
        <v>307</v>
      </c>
      <c r="J10" t="s">
        <v>31</v>
      </c>
      <c r="K10" s="3" t="s">
        <v>307</v>
      </c>
      <c r="S10" s="6"/>
      <c r="AF10" s="6"/>
    </row>
    <row r="11" spans="1:33" x14ac:dyDescent="0.3">
      <c r="S11" s="6"/>
      <c r="AF11" s="6"/>
    </row>
    <row r="12" spans="1:33" x14ac:dyDescent="0.3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J12" t="s">
        <v>32</v>
      </c>
      <c r="K12" t="s">
        <v>33</v>
      </c>
      <c r="L12" t="s">
        <v>37</v>
      </c>
      <c r="M12" t="s">
        <v>38</v>
      </c>
      <c r="N12" t="s">
        <v>39</v>
      </c>
      <c r="O12" t="s">
        <v>40</v>
      </c>
      <c r="S12" s="6" t="s">
        <v>41</v>
      </c>
      <c r="T12" t="s">
        <v>42</v>
      </c>
      <c r="U12" s="6" t="s">
        <v>43</v>
      </c>
      <c r="V12" s="6" t="s">
        <v>44</v>
      </c>
      <c r="W12" s="6" t="s">
        <v>45</v>
      </c>
      <c r="X12" s="6"/>
      <c r="Y12" s="6" t="s">
        <v>3</v>
      </c>
      <c r="Z12" s="6" t="s">
        <v>4</v>
      </c>
      <c r="AB12" s="6" t="s">
        <v>7</v>
      </c>
      <c r="AC12" s="6" t="s">
        <v>8</v>
      </c>
      <c r="AD12" s="6"/>
      <c r="AE12" s="6"/>
    </row>
    <row r="13" spans="1:33" x14ac:dyDescent="0.3">
      <c r="A13" t="s">
        <v>46</v>
      </c>
      <c r="B13" t="s">
        <v>47</v>
      </c>
      <c r="C13" s="4">
        <v>7507692</v>
      </c>
      <c r="D13" s="4">
        <v>6555</v>
      </c>
      <c r="E13" s="48">
        <v>8.7310454398000002E-4</v>
      </c>
      <c r="I13" s="4"/>
      <c r="J13" t="s">
        <v>48</v>
      </c>
      <c r="K13" t="s">
        <v>49</v>
      </c>
      <c r="L13" s="5">
        <v>7312961.8015999999</v>
      </c>
      <c r="M13">
        <v>6385</v>
      </c>
      <c r="N13" s="4">
        <v>6703</v>
      </c>
      <c r="O13" s="48">
        <v>8.7310725438300004E-4</v>
      </c>
      <c r="S13" s="6"/>
      <c r="T13" t="str">
        <f t="shared" ref="T13:T44" si="0">IF(J13=0,"",J13)</f>
        <v>FY2025</v>
      </c>
      <c r="U13" s="6" t="str">
        <f t="shared" ref="U13:U44" si="1">RIGHT(K13,3)</f>
        <v>W01</v>
      </c>
      <c r="V13" s="27">
        <f t="shared" ref="V13:V44" si="2">L13</f>
        <v>7312961.8015999999</v>
      </c>
      <c r="W13" s="27"/>
      <c r="X13" s="30"/>
      <c r="Y13" s="30">
        <f t="shared" ref="Y13:Y44" si="3">O13</f>
        <v>8.7310725438300004E-4</v>
      </c>
      <c r="Z13" s="27"/>
      <c r="AB13" s="27">
        <f t="shared" ref="AB13:AB44" si="4">N13</f>
        <v>6703</v>
      </c>
      <c r="AC13" s="27"/>
      <c r="AD13" s="27"/>
      <c r="AE13" s="6">
        <f>AB13/V13*100</f>
        <v>9.1659168772541016E-2</v>
      </c>
    </row>
    <row r="14" spans="1:33" x14ac:dyDescent="0.3">
      <c r="B14" t="s">
        <v>50</v>
      </c>
      <c r="C14" s="4">
        <v>7513292</v>
      </c>
      <c r="D14" s="4">
        <v>6450</v>
      </c>
      <c r="E14" s="48">
        <v>8.5847854708700003E-4</v>
      </c>
      <c r="I14" s="4"/>
      <c r="K14" t="s">
        <v>51</v>
      </c>
      <c r="L14" s="5">
        <v>7628646.8481999999</v>
      </c>
      <c r="M14">
        <v>6549</v>
      </c>
      <c r="N14" s="4">
        <v>6361</v>
      </c>
      <c r="O14" s="48">
        <v>8.5847465878499999E-4</v>
      </c>
      <c r="S14" s="6"/>
      <c r="T14" t="str">
        <f t="shared" si="0"/>
        <v/>
      </c>
      <c r="U14" s="6" t="str">
        <f t="shared" si="1"/>
        <v>W02</v>
      </c>
      <c r="V14" s="27">
        <f t="shared" si="2"/>
        <v>7628646.8481999999</v>
      </c>
      <c r="W14" s="27"/>
      <c r="X14" s="30"/>
      <c r="Y14" s="30">
        <f t="shared" si="3"/>
        <v>8.5847465878499999E-4</v>
      </c>
      <c r="Z14" s="27"/>
      <c r="AB14" s="27">
        <f t="shared" si="4"/>
        <v>6361</v>
      </c>
      <c r="AC14" s="27"/>
      <c r="AD14" s="27"/>
      <c r="AE14" s="6"/>
    </row>
    <row r="15" spans="1:33" x14ac:dyDescent="0.3">
      <c r="B15" t="s">
        <v>52</v>
      </c>
      <c r="C15" s="4">
        <v>7504868</v>
      </c>
      <c r="D15" s="4">
        <v>5993</v>
      </c>
      <c r="E15" s="48">
        <v>7.9854835554699999E-4</v>
      </c>
      <c r="I15" s="4"/>
      <c r="K15" t="s">
        <v>53</v>
      </c>
      <c r="L15" s="5">
        <v>6816075.2626</v>
      </c>
      <c r="M15">
        <v>5443</v>
      </c>
      <c r="N15" s="4">
        <v>5315</v>
      </c>
      <c r="O15" s="48">
        <v>7.9855338890800001E-4</v>
      </c>
      <c r="S15" s="6"/>
      <c r="T15" t="str">
        <f t="shared" si="0"/>
        <v/>
      </c>
      <c r="U15" s="6" t="str">
        <f t="shared" si="1"/>
        <v>W03</v>
      </c>
      <c r="V15" s="27">
        <f t="shared" si="2"/>
        <v>6816075.2626</v>
      </c>
      <c r="W15" s="27"/>
      <c r="X15" s="30"/>
      <c r="Y15" s="30">
        <f t="shared" si="3"/>
        <v>7.9855338890800001E-4</v>
      </c>
      <c r="Z15" s="27"/>
      <c r="AB15" s="27">
        <f t="shared" si="4"/>
        <v>5315</v>
      </c>
      <c r="AC15" s="27"/>
      <c r="AD15" s="27"/>
      <c r="AE15" s="6"/>
    </row>
    <row r="16" spans="1:33" x14ac:dyDescent="0.3">
      <c r="B16" t="s">
        <v>54</v>
      </c>
      <c r="C16" s="4">
        <v>7670592</v>
      </c>
      <c r="D16" s="4">
        <v>8304</v>
      </c>
      <c r="E16" s="48">
        <v>1.0825761557909999E-3</v>
      </c>
      <c r="I16" s="4"/>
      <c r="K16" t="s">
        <v>55</v>
      </c>
      <c r="L16" s="5">
        <v>7265451.8945000004</v>
      </c>
      <c r="M16">
        <v>7866</v>
      </c>
      <c r="N16" s="4">
        <v>8164</v>
      </c>
      <c r="O16" s="48">
        <v>1.082658052688E-3</v>
      </c>
      <c r="S16" s="6"/>
      <c r="T16" t="str">
        <f t="shared" si="0"/>
        <v/>
      </c>
      <c r="U16" s="6" t="str">
        <f t="shared" si="1"/>
        <v>W04</v>
      </c>
      <c r="V16" s="27">
        <f t="shared" si="2"/>
        <v>7265451.8945000004</v>
      </c>
      <c r="W16" s="27"/>
      <c r="X16" s="30"/>
      <c r="Y16" s="30">
        <f t="shared" si="3"/>
        <v>1.082658052688E-3</v>
      </c>
      <c r="Z16" s="27"/>
      <c r="AB16" s="27">
        <f t="shared" si="4"/>
        <v>8164</v>
      </c>
      <c r="AC16" s="27"/>
      <c r="AD16" s="27"/>
      <c r="AE16" s="6"/>
    </row>
    <row r="17" spans="2:31" x14ac:dyDescent="0.3">
      <c r="B17" t="s">
        <v>56</v>
      </c>
      <c r="C17" s="4">
        <v>7456723</v>
      </c>
      <c r="D17" s="4">
        <v>5026</v>
      </c>
      <c r="E17" s="48">
        <v>6.74022623611E-4</v>
      </c>
      <c r="I17" s="4"/>
      <c r="K17" t="s">
        <v>57</v>
      </c>
      <c r="L17" s="5">
        <v>7399473.3300999999</v>
      </c>
      <c r="M17">
        <v>4987</v>
      </c>
      <c r="N17" s="4">
        <v>4922</v>
      </c>
      <c r="O17" s="48">
        <v>6.7396688622600005E-4</v>
      </c>
      <c r="S17" s="6"/>
      <c r="T17" t="str">
        <f t="shared" si="0"/>
        <v/>
      </c>
      <c r="U17" s="6" t="str">
        <f t="shared" si="1"/>
        <v>W05</v>
      </c>
      <c r="V17" s="27">
        <f t="shared" si="2"/>
        <v>7399473.3300999999</v>
      </c>
      <c r="W17" s="27"/>
      <c r="X17" s="30"/>
      <c r="Y17" s="30">
        <f t="shared" si="3"/>
        <v>6.7396688622600005E-4</v>
      </c>
      <c r="Z17" s="27"/>
      <c r="AB17" s="27">
        <f t="shared" si="4"/>
        <v>4922</v>
      </c>
      <c r="AC17" s="27"/>
      <c r="AE17" s="6"/>
    </row>
    <row r="18" spans="2:31" x14ac:dyDescent="0.3">
      <c r="B18" t="s">
        <v>58</v>
      </c>
      <c r="C18" s="4">
        <v>7623013</v>
      </c>
      <c r="D18" s="4">
        <v>7285</v>
      </c>
      <c r="E18" s="48">
        <v>9.5565887136799996E-4</v>
      </c>
      <c r="I18" s="4"/>
      <c r="K18" t="s">
        <v>59</v>
      </c>
      <c r="L18" s="5">
        <v>7782381.2619000003</v>
      </c>
      <c r="M18">
        <v>7437</v>
      </c>
      <c r="N18" s="4">
        <v>7588</v>
      </c>
      <c r="O18" s="48">
        <v>9.5562010517399995E-4</v>
      </c>
      <c r="S18" s="6"/>
      <c r="T18" t="str">
        <f t="shared" si="0"/>
        <v/>
      </c>
      <c r="U18" s="6" t="str">
        <f t="shared" si="1"/>
        <v>W06</v>
      </c>
      <c r="V18" s="27">
        <f t="shared" si="2"/>
        <v>7782381.2619000003</v>
      </c>
      <c r="W18" s="27"/>
      <c r="X18" s="30"/>
      <c r="Y18" s="30">
        <f t="shared" si="3"/>
        <v>9.5562010517399995E-4</v>
      </c>
      <c r="Z18" s="27"/>
      <c r="AB18" s="27">
        <f t="shared" si="4"/>
        <v>7588</v>
      </c>
      <c r="AC18" s="27"/>
      <c r="AE18" s="6"/>
    </row>
    <row r="19" spans="2:31" x14ac:dyDescent="0.3">
      <c r="B19" t="s">
        <v>60</v>
      </c>
      <c r="C19" s="4">
        <v>7777756</v>
      </c>
      <c r="D19" s="4">
        <v>8071</v>
      </c>
      <c r="E19" s="48">
        <v>1.0377029055680001E-3</v>
      </c>
      <c r="I19" s="4"/>
      <c r="K19" t="s">
        <v>61</v>
      </c>
      <c r="L19" s="5">
        <v>7391232.8062000005</v>
      </c>
      <c r="M19">
        <v>7670</v>
      </c>
      <c r="N19" s="4">
        <v>7756</v>
      </c>
      <c r="O19" s="48">
        <v>1.037715926573E-3</v>
      </c>
      <c r="S19" s="6"/>
      <c r="T19" t="str">
        <f t="shared" si="0"/>
        <v/>
      </c>
      <c r="U19" s="6" t="str">
        <f t="shared" si="1"/>
        <v>W07</v>
      </c>
      <c r="V19" s="27">
        <f t="shared" si="2"/>
        <v>7391232.8062000005</v>
      </c>
      <c r="W19" s="27"/>
      <c r="X19" s="30"/>
      <c r="Y19" s="30">
        <f t="shared" si="3"/>
        <v>1.037715926573E-3</v>
      </c>
      <c r="Z19" s="27"/>
      <c r="AB19" s="27">
        <f t="shared" si="4"/>
        <v>7756</v>
      </c>
      <c r="AC19" s="27"/>
      <c r="AE19" s="6"/>
    </row>
    <row r="20" spans="2:31" x14ac:dyDescent="0.3">
      <c r="B20" t="s">
        <v>62</v>
      </c>
      <c r="C20" s="4">
        <v>7243560</v>
      </c>
      <c r="D20" s="4">
        <v>7373</v>
      </c>
      <c r="E20" s="48">
        <v>1.017869666297E-3</v>
      </c>
      <c r="I20" s="4"/>
      <c r="K20" t="s">
        <v>63</v>
      </c>
      <c r="L20" s="5">
        <v>6969594.3391000004</v>
      </c>
      <c r="M20">
        <v>7094</v>
      </c>
      <c r="N20" s="4">
        <v>6745</v>
      </c>
      <c r="O20" s="48">
        <v>1.0178497707109999E-3</v>
      </c>
      <c r="S20" s="6"/>
      <c r="T20" t="str">
        <f t="shared" si="0"/>
        <v/>
      </c>
      <c r="U20" s="6" t="str">
        <f t="shared" si="1"/>
        <v>W08</v>
      </c>
      <c r="V20" s="27">
        <f t="shared" si="2"/>
        <v>6969594.3391000004</v>
      </c>
      <c r="W20" s="27"/>
      <c r="X20" s="30"/>
      <c r="Y20" s="30">
        <f t="shared" si="3"/>
        <v>1.0178497707109999E-3</v>
      </c>
      <c r="Z20" s="27"/>
      <c r="AB20" s="27">
        <f t="shared" si="4"/>
        <v>6745</v>
      </c>
      <c r="AC20" s="27"/>
      <c r="AE20" s="6"/>
    </row>
    <row r="21" spans="2:31" x14ac:dyDescent="0.3">
      <c r="B21" t="s">
        <v>64</v>
      </c>
      <c r="C21" s="4">
        <v>7599091</v>
      </c>
      <c r="D21" s="4">
        <v>5946</v>
      </c>
      <c r="E21" s="48">
        <v>7.8246200762699999E-4</v>
      </c>
      <c r="I21" s="4"/>
      <c r="K21" t="s">
        <v>65</v>
      </c>
      <c r="L21" s="5">
        <v>7810876.6123000002</v>
      </c>
      <c r="M21">
        <v>6112</v>
      </c>
      <c r="N21" s="4">
        <v>6306</v>
      </c>
      <c r="O21" s="48">
        <v>7.8249859822100004E-4</v>
      </c>
      <c r="S21" s="6"/>
      <c r="T21" t="str">
        <f t="shared" si="0"/>
        <v/>
      </c>
      <c r="U21" s="6" t="str">
        <f t="shared" si="1"/>
        <v>W09</v>
      </c>
      <c r="V21" s="27">
        <f t="shared" si="2"/>
        <v>7810876.6123000002</v>
      </c>
      <c r="W21" s="27"/>
      <c r="X21" s="30"/>
      <c r="Y21" s="30">
        <f t="shared" si="3"/>
        <v>7.8249859822100004E-4</v>
      </c>
      <c r="Z21" s="27"/>
      <c r="AB21" s="27">
        <f t="shared" si="4"/>
        <v>6306</v>
      </c>
      <c r="AC21" s="27"/>
      <c r="AE21" s="6"/>
    </row>
    <row r="22" spans="2:31" x14ac:dyDescent="0.3">
      <c r="B22" t="s">
        <v>66</v>
      </c>
      <c r="C22" s="4">
        <v>7503633</v>
      </c>
      <c r="D22" s="4">
        <v>5496</v>
      </c>
      <c r="E22" s="48">
        <v>7.3244520354300003E-4</v>
      </c>
      <c r="I22" s="4"/>
      <c r="K22" t="s">
        <v>67</v>
      </c>
      <c r="L22" s="5">
        <v>7265801.3663999997</v>
      </c>
      <c r="M22">
        <v>5322</v>
      </c>
      <c r="N22" s="4">
        <v>5556</v>
      </c>
      <c r="O22" s="48">
        <v>7.3247254248000001E-4</v>
      </c>
      <c r="S22" s="6"/>
      <c r="T22" t="str">
        <f t="shared" si="0"/>
        <v/>
      </c>
      <c r="U22" s="6" t="str">
        <f t="shared" si="1"/>
        <v>W10</v>
      </c>
      <c r="V22" s="27">
        <f t="shared" si="2"/>
        <v>7265801.3663999997</v>
      </c>
      <c r="W22" s="27"/>
      <c r="X22" s="30"/>
      <c r="Y22" s="30">
        <f t="shared" si="3"/>
        <v>7.3247254248000001E-4</v>
      </c>
      <c r="Z22" s="27"/>
      <c r="AB22" s="27">
        <f t="shared" si="4"/>
        <v>5556</v>
      </c>
      <c r="AC22" s="27"/>
      <c r="AE22" s="6"/>
    </row>
    <row r="23" spans="2:31" x14ac:dyDescent="0.3">
      <c r="B23" t="s">
        <v>68</v>
      </c>
      <c r="C23" s="4">
        <v>7683158</v>
      </c>
      <c r="D23" s="4">
        <v>7766</v>
      </c>
      <c r="E23" s="48">
        <v>1.010782285097E-3</v>
      </c>
      <c r="I23" s="4"/>
      <c r="K23" t="s">
        <v>69</v>
      </c>
      <c r="L23" s="5">
        <v>6771332.8710000003</v>
      </c>
      <c r="M23">
        <v>6844</v>
      </c>
      <c r="N23" s="4">
        <v>6594</v>
      </c>
      <c r="O23" s="48">
        <v>1.0107315842219999E-3</v>
      </c>
      <c r="S23" s="6"/>
      <c r="T23" t="str">
        <f t="shared" si="0"/>
        <v/>
      </c>
      <c r="U23" s="6" t="str">
        <f t="shared" si="1"/>
        <v>W11</v>
      </c>
      <c r="V23" s="27">
        <f t="shared" si="2"/>
        <v>6771332.8710000003</v>
      </c>
      <c r="W23" s="27"/>
      <c r="X23" s="30"/>
      <c r="Y23" s="30">
        <f t="shared" si="3"/>
        <v>1.0107315842219999E-3</v>
      </c>
      <c r="Z23" s="27"/>
      <c r="AB23" s="27">
        <f t="shared" si="4"/>
        <v>6594</v>
      </c>
      <c r="AC23" s="27"/>
      <c r="AE23" s="6"/>
    </row>
    <row r="24" spans="2:31" x14ac:dyDescent="0.3">
      <c r="B24" t="s">
        <v>70</v>
      </c>
      <c r="C24" s="4">
        <v>7359577</v>
      </c>
      <c r="D24" s="4">
        <v>6281</v>
      </c>
      <c r="E24" s="48">
        <v>8.53445789072E-4</v>
      </c>
      <c r="I24" s="4"/>
      <c r="K24" t="s">
        <v>71</v>
      </c>
      <c r="L24" s="5">
        <v>7474067.7148000002</v>
      </c>
      <c r="M24">
        <v>6378</v>
      </c>
      <c r="N24" s="4">
        <v>6412</v>
      </c>
      <c r="O24" s="48">
        <v>8.5335057740700004E-4</v>
      </c>
      <c r="S24" s="6"/>
      <c r="T24" t="str">
        <f t="shared" si="0"/>
        <v/>
      </c>
      <c r="U24" s="6" t="str">
        <f t="shared" si="1"/>
        <v>W12</v>
      </c>
      <c r="V24" s="27">
        <f t="shared" si="2"/>
        <v>7474067.7148000002</v>
      </c>
      <c r="W24" s="27"/>
      <c r="X24" s="30"/>
      <c r="Y24" s="30">
        <f t="shared" si="3"/>
        <v>8.5335057740700004E-4</v>
      </c>
      <c r="Z24" s="27"/>
      <c r="AB24" s="27">
        <f t="shared" si="4"/>
        <v>6412</v>
      </c>
      <c r="AC24" s="27"/>
      <c r="AE24" s="6"/>
    </row>
    <row r="25" spans="2:31" x14ac:dyDescent="0.3">
      <c r="B25" t="s">
        <v>72</v>
      </c>
      <c r="C25" s="4">
        <v>7794832</v>
      </c>
      <c r="D25" s="4">
        <v>6605</v>
      </c>
      <c r="E25" s="48">
        <v>8.4735629966099996E-4</v>
      </c>
      <c r="I25" s="4"/>
      <c r="K25" t="s">
        <v>73</v>
      </c>
      <c r="L25" s="5">
        <v>7203024.5488</v>
      </c>
      <c r="M25">
        <v>6103</v>
      </c>
      <c r="N25" s="4">
        <v>5964</v>
      </c>
      <c r="O25" s="48">
        <v>8.4728296546200004E-4</v>
      </c>
      <c r="S25" s="6"/>
      <c r="T25" t="str">
        <f t="shared" si="0"/>
        <v/>
      </c>
      <c r="U25" s="6" t="str">
        <f t="shared" si="1"/>
        <v>W13</v>
      </c>
      <c r="V25" s="27">
        <f t="shared" si="2"/>
        <v>7203024.5488</v>
      </c>
      <c r="W25" s="27"/>
      <c r="X25" s="30"/>
      <c r="Y25" s="30">
        <f t="shared" si="3"/>
        <v>8.4728296546200004E-4</v>
      </c>
      <c r="Z25" s="27"/>
      <c r="AB25" s="27">
        <f t="shared" si="4"/>
        <v>5964</v>
      </c>
      <c r="AC25" s="27"/>
      <c r="AE25" s="6"/>
    </row>
    <row r="26" spans="2:31" x14ac:dyDescent="0.3">
      <c r="B26" t="s">
        <v>74</v>
      </c>
      <c r="C26" s="4">
        <v>7599624</v>
      </c>
      <c r="D26" s="4">
        <v>4646</v>
      </c>
      <c r="E26" s="48">
        <v>6.1134603501399997E-4</v>
      </c>
      <c r="I26" s="4"/>
      <c r="K26" t="s">
        <v>75</v>
      </c>
      <c r="L26" s="5">
        <v>7370839.7062999997</v>
      </c>
      <c r="M26">
        <v>4506</v>
      </c>
      <c r="N26" s="4">
        <v>4372</v>
      </c>
      <c r="O26" s="48">
        <v>6.1132790557800001E-4</v>
      </c>
      <c r="S26" s="6"/>
      <c r="T26" t="str">
        <f t="shared" si="0"/>
        <v/>
      </c>
      <c r="U26" s="6" t="str">
        <f t="shared" si="1"/>
        <v>W14</v>
      </c>
      <c r="V26" s="27">
        <f t="shared" si="2"/>
        <v>7370839.7062999997</v>
      </c>
      <c r="W26" s="27"/>
      <c r="X26" s="30"/>
      <c r="Y26" s="30">
        <f t="shared" si="3"/>
        <v>6.1132790557800001E-4</v>
      </c>
      <c r="Z26" s="27"/>
      <c r="AB26" s="27">
        <f t="shared" si="4"/>
        <v>4372</v>
      </c>
      <c r="AC26" s="27"/>
      <c r="AE26" s="6"/>
    </row>
    <row r="27" spans="2:31" x14ac:dyDescent="0.3">
      <c r="B27" t="s">
        <v>76</v>
      </c>
      <c r="C27" s="4">
        <v>7746013</v>
      </c>
      <c r="D27" s="4">
        <v>5066</v>
      </c>
      <c r="E27" s="48">
        <v>6.5401387784900004E-4</v>
      </c>
      <c r="I27" s="4"/>
      <c r="K27" t="s">
        <v>77</v>
      </c>
      <c r="L27" s="5">
        <v>6870525.3163000001</v>
      </c>
      <c r="M27">
        <v>4493</v>
      </c>
      <c r="N27" s="4">
        <v>4553</v>
      </c>
      <c r="O27" s="48">
        <v>6.53952906533E-4</v>
      </c>
      <c r="S27" s="6"/>
      <c r="T27" t="str">
        <f t="shared" si="0"/>
        <v/>
      </c>
      <c r="U27" s="6" t="str">
        <f t="shared" si="1"/>
        <v>W15</v>
      </c>
      <c r="V27" s="27">
        <f t="shared" si="2"/>
        <v>6870525.3163000001</v>
      </c>
      <c r="W27" s="27"/>
      <c r="X27" s="30"/>
      <c r="Y27" s="30">
        <f t="shared" si="3"/>
        <v>6.53952906533E-4</v>
      </c>
      <c r="Z27" s="27"/>
      <c r="AB27" s="27">
        <f t="shared" si="4"/>
        <v>4553</v>
      </c>
      <c r="AC27" s="27"/>
      <c r="AE27" s="6"/>
    </row>
    <row r="28" spans="2:31" x14ac:dyDescent="0.3">
      <c r="B28" t="s">
        <v>78</v>
      </c>
      <c r="C28" s="4">
        <v>7653607</v>
      </c>
      <c r="D28" s="4">
        <v>6006</v>
      </c>
      <c r="E28" s="48">
        <v>7.84728037382E-4</v>
      </c>
      <c r="I28" s="4"/>
      <c r="K28" t="s">
        <v>79</v>
      </c>
      <c r="L28" s="5">
        <v>6714563.0219999999</v>
      </c>
      <c r="M28">
        <v>5269</v>
      </c>
      <c r="N28" s="4">
        <v>5483</v>
      </c>
      <c r="O28" s="48">
        <v>7.8471227133300003E-4</v>
      </c>
      <c r="S28" s="6"/>
      <c r="T28" t="str">
        <f t="shared" si="0"/>
        <v/>
      </c>
      <c r="U28" s="6" t="str">
        <f t="shared" si="1"/>
        <v>W16</v>
      </c>
      <c r="V28" s="27">
        <f t="shared" si="2"/>
        <v>6714563.0219999999</v>
      </c>
      <c r="W28" s="27"/>
      <c r="X28" s="30"/>
      <c r="Y28" s="30">
        <f t="shared" si="3"/>
        <v>7.8471227133300003E-4</v>
      </c>
      <c r="Z28" s="27"/>
      <c r="AB28" s="27">
        <f t="shared" si="4"/>
        <v>5483</v>
      </c>
      <c r="AC28" s="27"/>
      <c r="AE28" s="6"/>
    </row>
    <row r="29" spans="2:31" x14ac:dyDescent="0.3">
      <c r="B29" t="s">
        <v>80</v>
      </c>
      <c r="C29" s="4">
        <v>6453101</v>
      </c>
      <c r="D29" s="4">
        <v>6279</v>
      </c>
      <c r="E29" s="48">
        <v>9.7302056794100001E-4</v>
      </c>
      <c r="I29" s="4"/>
      <c r="K29" t="s">
        <v>81</v>
      </c>
      <c r="L29" s="5">
        <v>7034851.3617000002</v>
      </c>
      <c r="M29">
        <v>6845</v>
      </c>
      <c r="N29" s="4">
        <v>7082</v>
      </c>
      <c r="O29" s="48">
        <v>9.7301274015100005E-4</v>
      </c>
      <c r="S29" s="6"/>
      <c r="T29" t="str">
        <f t="shared" si="0"/>
        <v/>
      </c>
      <c r="U29" s="6" t="str">
        <f t="shared" si="1"/>
        <v>W17</v>
      </c>
      <c r="V29" s="27">
        <f t="shared" si="2"/>
        <v>7034851.3617000002</v>
      </c>
      <c r="W29" s="27"/>
      <c r="X29" s="30"/>
      <c r="Y29" s="30">
        <f t="shared" si="3"/>
        <v>9.7301274015100005E-4</v>
      </c>
      <c r="Z29" s="27"/>
      <c r="AB29" s="27">
        <f t="shared" si="4"/>
        <v>7082</v>
      </c>
      <c r="AC29" s="27"/>
      <c r="AE29" s="6"/>
    </row>
    <row r="30" spans="2:31" x14ac:dyDescent="0.3">
      <c r="B30" t="s">
        <v>82</v>
      </c>
      <c r="C30" s="4">
        <v>7075545</v>
      </c>
      <c r="D30" s="4">
        <v>6592</v>
      </c>
      <c r="E30" s="48">
        <v>9.3165968133900002E-4</v>
      </c>
      <c r="I30" s="4"/>
      <c r="K30" t="s">
        <v>83</v>
      </c>
      <c r="L30" s="5">
        <v>7557711.4023000002</v>
      </c>
      <c r="M30">
        <v>7042</v>
      </c>
      <c r="N30" s="4">
        <v>6885</v>
      </c>
      <c r="O30" s="48">
        <v>9.3176354919499997E-4</v>
      </c>
      <c r="S30" s="6"/>
      <c r="T30" t="str">
        <f t="shared" si="0"/>
        <v/>
      </c>
      <c r="U30" s="6" t="str">
        <f t="shared" si="1"/>
        <v>W18</v>
      </c>
      <c r="V30" s="27">
        <f t="shared" si="2"/>
        <v>7557711.4023000002</v>
      </c>
      <c r="W30" s="27"/>
      <c r="X30" s="30"/>
      <c r="Y30" s="30">
        <f t="shared" si="3"/>
        <v>9.3176354919499997E-4</v>
      </c>
      <c r="Z30" s="27"/>
      <c r="AB30" s="27">
        <f t="shared" si="4"/>
        <v>6885</v>
      </c>
      <c r="AC30" s="27"/>
      <c r="AE30" s="6"/>
    </row>
    <row r="31" spans="2:31" x14ac:dyDescent="0.3">
      <c r="B31" t="s">
        <v>84</v>
      </c>
      <c r="C31" s="4">
        <v>7655680</v>
      </c>
      <c r="D31" s="4">
        <v>6785</v>
      </c>
      <c r="E31" s="48">
        <v>8.8627006353500005E-4</v>
      </c>
      <c r="I31" s="4"/>
      <c r="K31" t="s">
        <v>85</v>
      </c>
      <c r="L31" s="5">
        <v>6795424.2490999997</v>
      </c>
      <c r="M31">
        <v>6023</v>
      </c>
      <c r="N31" s="4">
        <v>5724</v>
      </c>
      <c r="O31" s="48">
        <v>8.8633171075300004E-4</v>
      </c>
      <c r="S31" s="6"/>
      <c r="T31" t="str">
        <f t="shared" si="0"/>
        <v/>
      </c>
      <c r="U31" s="6" t="str">
        <f t="shared" si="1"/>
        <v>W19</v>
      </c>
      <c r="V31" s="27">
        <f t="shared" si="2"/>
        <v>6795424.2490999997</v>
      </c>
      <c r="W31" s="27"/>
      <c r="X31" s="30"/>
      <c r="Y31" s="30">
        <f t="shared" si="3"/>
        <v>8.8633171075300004E-4</v>
      </c>
      <c r="Z31" s="27"/>
      <c r="AB31" s="27">
        <f t="shared" si="4"/>
        <v>5724</v>
      </c>
      <c r="AC31" s="27"/>
      <c r="AE31" s="6"/>
    </row>
    <row r="32" spans="2:31" x14ac:dyDescent="0.3">
      <c r="B32" t="s">
        <v>86</v>
      </c>
      <c r="C32" s="4">
        <v>7715082</v>
      </c>
      <c r="D32" s="4">
        <v>6390</v>
      </c>
      <c r="E32" s="48">
        <v>8.2824783975100002E-4</v>
      </c>
      <c r="I32" s="4"/>
      <c r="K32" t="s">
        <v>87</v>
      </c>
      <c r="L32" s="5">
        <v>6868627.9254999999</v>
      </c>
      <c r="M32">
        <v>5689</v>
      </c>
      <c r="N32" s="4">
        <v>5554</v>
      </c>
      <c r="O32" s="48">
        <v>8.2825857823500004E-4</v>
      </c>
      <c r="S32" s="6"/>
      <c r="T32" t="str">
        <f t="shared" si="0"/>
        <v/>
      </c>
      <c r="U32" s="6" t="str">
        <f t="shared" si="1"/>
        <v>W20</v>
      </c>
      <c r="V32" s="27">
        <f t="shared" si="2"/>
        <v>6868627.9254999999</v>
      </c>
      <c r="W32" s="27"/>
      <c r="X32" s="30"/>
      <c r="Y32" s="30">
        <f t="shared" si="3"/>
        <v>8.2825857823500004E-4</v>
      </c>
      <c r="Z32" s="27"/>
      <c r="AB32" s="27">
        <f t="shared" si="4"/>
        <v>5554</v>
      </c>
      <c r="AC32" s="27"/>
      <c r="AE32" s="6"/>
    </row>
    <row r="33" spans="2:31" x14ac:dyDescent="0.3">
      <c r="B33" t="s">
        <v>88</v>
      </c>
      <c r="C33" s="4">
        <v>7359024</v>
      </c>
      <c r="D33" s="4">
        <v>4329</v>
      </c>
      <c r="E33" s="48">
        <v>5.8825735586699995E-4</v>
      </c>
      <c r="I33" s="4"/>
      <c r="K33" t="s">
        <v>89</v>
      </c>
      <c r="L33" s="5">
        <v>7114853.0033</v>
      </c>
      <c r="M33">
        <v>4186</v>
      </c>
      <c r="N33" s="4">
        <v>4287</v>
      </c>
      <c r="O33" s="48">
        <v>5.8834665987599999E-4</v>
      </c>
      <c r="S33" s="6"/>
      <c r="T33" t="str">
        <f t="shared" si="0"/>
        <v/>
      </c>
      <c r="U33" s="6" t="str">
        <f t="shared" si="1"/>
        <v>W21</v>
      </c>
      <c r="V33" s="27">
        <f t="shared" si="2"/>
        <v>7114853.0033</v>
      </c>
      <c r="W33" s="27"/>
      <c r="X33" s="30"/>
      <c r="Y33" s="30">
        <f t="shared" si="3"/>
        <v>5.8834665987599999E-4</v>
      </c>
      <c r="Z33" s="27"/>
      <c r="AB33" s="27">
        <f t="shared" si="4"/>
        <v>4287</v>
      </c>
      <c r="AC33" s="27"/>
      <c r="AE33" s="6"/>
    </row>
    <row r="34" spans="2:31" x14ac:dyDescent="0.3">
      <c r="B34" t="s">
        <v>90</v>
      </c>
      <c r="C34" s="4">
        <v>7424946</v>
      </c>
      <c r="D34" s="4">
        <v>4825</v>
      </c>
      <c r="E34" s="48">
        <v>6.49836375914E-4</v>
      </c>
      <c r="I34" s="4"/>
      <c r="K34" t="s">
        <v>91</v>
      </c>
      <c r="L34" s="5">
        <v>7510040.9607999995</v>
      </c>
      <c r="M34">
        <v>4880</v>
      </c>
      <c r="N34" s="4">
        <v>4641</v>
      </c>
      <c r="O34" s="48">
        <v>6.49796722211E-4</v>
      </c>
      <c r="S34" s="6"/>
      <c r="T34" t="str">
        <f t="shared" si="0"/>
        <v/>
      </c>
      <c r="U34" s="6" t="str">
        <f t="shared" si="1"/>
        <v>W22</v>
      </c>
      <c r="V34" s="27">
        <f t="shared" si="2"/>
        <v>7510040.9607999995</v>
      </c>
      <c r="W34" s="27"/>
      <c r="X34" s="30"/>
      <c r="Y34" s="30">
        <f t="shared" si="3"/>
        <v>6.49796722211E-4</v>
      </c>
      <c r="Z34" s="27"/>
      <c r="AB34" s="27">
        <f t="shared" si="4"/>
        <v>4641</v>
      </c>
      <c r="AC34" s="27"/>
      <c r="AE34" s="6"/>
    </row>
    <row r="35" spans="2:31" x14ac:dyDescent="0.3">
      <c r="B35" t="s">
        <v>92</v>
      </c>
      <c r="C35" s="4">
        <v>7595260</v>
      </c>
      <c r="D35" s="4">
        <v>5692</v>
      </c>
      <c r="E35" s="48">
        <v>7.4941476657799998E-4</v>
      </c>
      <c r="I35" s="4"/>
      <c r="K35" t="s">
        <v>93</v>
      </c>
      <c r="L35" s="5">
        <v>7324976.7586000003</v>
      </c>
      <c r="M35">
        <v>5490</v>
      </c>
      <c r="N35" s="4">
        <v>5257</v>
      </c>
      <c r="O35" s="48">
        <v>7.4949043265600001E-4</v>
      </c>
      <c r="S35" s="6"/>
      <c r="T35" t="str">
        <f t="shared" si="0"/>
        <v/>
      </c>
      <c r="U35" s="6" t="str">
        <f t="shared" si="1"/>
        <v>W23</v>
      </c>
      <c r="V35" s="27">
        <f t="shared" si="2"/>
        <v>7324976.7586000003</v>
      </c>
      <c r="W35" s="27"/>
      <c r="X35" s="30"/>
      <c r="Y35" s="30">
        <f t="shared" si="3"/>
        <v>7.4949043265600001E-4</v>
      </c>
      <c r="Z35" s="27"/>
      <c r="AB35" s="27">
        <f t="shared" si="4"/>
        <v>5257</v>
      </c>
      <c r="AC35" s="27"/>
      <c r="AE35" s="6"/>
    </row>
    <row r="36" spans="2:31" x14ac:dyDescent="0.3">
      <c r="B36" t="s">
        <v>94</v>
      </c>
      <c r="C36" s="4">
        <v>7596409</v>
      </c>
      <c r="D36" s="4">
        <v>7908</v>
      </c>
      <c r="E36" s="48">
        <v>1.0410181968879999E-3</v>
      </c>
      <c r="I36" s="4"/>
      <c r="K36" t="s">
        <v>95</v>
      </c>
      <c r="L36" s="5">
        <v>7372686.1618999997</v>
      </c>
      <c r="M36">
        <v>7675</v>
      </c>
      <c r="N36" s="4">
        <v>7710</v>
      </c>
      <c r="O36" s="48">
        <v>1.041004571666E-3</v>
      </c>
      <c r="S36" s="6"/>
      <c r="T36" t="str">
        <f t="shared" si="0"/>
        <v/>
      </c>
      <c r="U36" s="6" t="str">
        <f t="shared" si="1"/>
        <v>W24</v>
      </c>
      <c r="V36" s="27">
        <f t="shared" si="2"/>
        <v>7372686.1618999997</v>
      </c>
      <c r="W36" s="27"/>
      <c r="X36" s="30"/>
      <c r="Y36" s="30">
        <f t="shared" si="3"/>
        <v>1.041004571666E-3</v>
      </c>
      <c r="Z36" s="27"/>
      <c r="AB36" s="27">
        <f t="shared" si="4"/>
        <v>7710</v>
      </c>
      <c r="AC36" s="27"/>
      <c r="AE36" s="6"/>
    </row>
    <row r="37" spans="2:31" x14ac:dyDescent="0.3">
      <c r="B37" t="s">
        <v>96</v>
      </c>
      <c r="C37" s="4">
        <v>7121859</v>
      </c>
      <c r="D37" s="4">
        <v>4148</v>
      </c>
      <c r="E37" s="48">
        <v>5.8243219923300002E-4</v>
      </c>
      <c r="I37" s="4"/>
      <c r="K37" t="s">
        <v>97</v>
      </c>
      <c r="L37" s="5">
        <v>6940452.5455</v>
      </c>
      <c r="M37">
        <v>4042</v>
      </c>
      <c r="N37" s="4">
        <v>4177</v>
      </c>
      <c r="O37" s="48">
        <v>5.82382773098E-4</v>
      </c>
      <c r="S37" s="6"/>
      <c r="T37" t="str">
        <f t="shared" si="0"/>
        <v/>
      </c>
      <c r="U37" s="6" t="str">
        <f t="shared" si="1"/>
        <v>W25</v>
      </c>
      <c r="V37" s="27">
        <f t="shared" si="2"/>
        <v>6940452.5455</v>
      </c>
      <c r="W37" s="27"/>
      <c r="X37" s="30"/>
      <c r="Y37" s="30">
        <f t="shared" si="3"/>
        <v>5.82382773098E-4</v>
      </c>
      <c r="Z37" s="27"/>
      <c r="AB37" s="27">
        <f t="shared" si="4"/>
        <v>4177</v>
      </c>
      <c r="AC37" s="27"/>
      <c r="AE37" s="6"/>
    </row>
    <row r="38" spans="2:31" x14ac:dyDescent="0.3">
      <c r="B38" t="s">
        <v>98</v>
      </c>
      <c r="C38" s="4">
        <v>7168978</v>
      </c>
      <c r="D38" s="4">
        <v>5206</v>
      </c>
      <c r="E38" s="48">
        <v>7.2618440173800002E-4</v>
      </c>
      <c r="I38" s="4"/>
      <c r="K38" t="s">
        <v>99</v>
      </c>
      <c r="L38" s="5">
        <v>7370702.9555000002</v>
      </c>
      <c r="M38">
        <v>5353</v>
      </c>
      <c r="N38" s="4">
        <v>5154</v>
      </c>
      <c r="O38" s="48">
        <v>7.2625366024400004E-4</v>
      </c>
      <c r="S38" s="6"/>
      <c r="T38" t="str">
        <f t="shared" si="0"/>
        <v/>
      </c>
      <c r="U38" s="6" t="str">
        <f t="shared" si="1"/>
        <v>W26</v>
      </c>
      <c r="V38" s="27">
        <f t="shared" si="2"/>
        <v>7370702.9555000002</v>
      </c>
      <c r="W38" s="27"/>
      <c r="X38" s="30"/>
      <c r="Y38" s="30">
        <f t="shared" si="3"/>
        <v>7.2625366024400004E-4</v>
      </c>
      <c r="Z38" s="27"/>
      <c r="AB38" s="27">
        <f t="shared" si="4"/>
        <v>5154</v>
      </c>
      <c r="AC38" s="27"/>
      <c r="AE38" s="6"/>
    </row>
    <row r="39" spans="2:31" x14ac:dyDescent="0.3">
      <c r="B39" t="s">
        <v>100</v>
      </c>
      <c r="C39" s="4">
        <v>7221114</v>
      </c>
      <c r="D39" s="4">
        <v>5473</v>
      </c>
      <c r="E39" s="48">
        <v>7.5791629934099998E-4</v>
      </c>
      <c r="I39" s="4"/>
      <c r="K39" t="s">
        <v>101</v>
      </c>
      <c r="L39" s="5">
        <v>7997848.3943999996</v>
      </c>
      <c r="M39">
        <v>6062</v>
      </c>
      <c r="N39" s="4">
        <v>5946</v>
      </c>
      <c r="O39" s="48">
        <v>7.5795385221900003E-4</v>
      </c>
      <c r="S39" s="6"/>
      <c r="T39" t="str">
        <f t="shared" si="0"/>
        <v/>
      </c>
      <c r="U39" s="6" t="str">
        <f t="shared" si="1"/>
        <v>W27</v>
      </c>
      <c r="V39" s="27">
        <f t="shared" si="2"/>
        <v>7997848.3943999996</v>
      </c>
      <c r="W39" s="27"/>
      <c r="X39" s="30"/>
      <c r="Y39" s="30">
        <f t="shared" si="3"/>
        <v>7.5795385221900003E-4</v>
      </c>
      <c r="Z39" s="27"/>
      <c r="AB39" s="27">
        <f t="shared" si="4"/>
        <v>5946</v>
      </c>
      <c r="AC39" s="27"/>
      <c r="AE39" s="6"/>
    </row>
    <row r="40" spans="2:31" x14ac:dyDescent="0.3">
      <c r="B40" t="s">
        <v>102</v>
      </c>
      <c r="C40" s="4">
        <v>7006530</v>
      </c>
      <c r="D40" s="4">
        <v>7114</v>
      </c>
      <c r="E40" s="48">
        <v>1.0153385484679999E-3</v>
      </c>
      <c r="I40" s="4"/>
      <c r="K40" t="s">
        <v>103</v>
      </c>
      <c r="L40" s="5">
        <v>6763023.9687000001</v>
      </c>
      <c r="M40">
        <v>6867</v>
      </c>
      <c r="N40" s="4">
        <v>7115</v>
      </c>
      <c r="O40" s="48">
        <v>1.015374192341E-3</v>
      </c>
      <c r="S40" s="6"/>
      <c r="T40" t="str">
        <f t="shared" si="0"/>
        <v/>
      </c>
      <c r="U40" s="6" t="str">
        <f t="shared" si="1"/>
        <v>W28</v>
      </c>
      <c r="V40" s="27">
        <f t="shared" si="2"/>
        <v>6763023.9687000001</v>
      </c>
      <c r="W40" s="27"/>
      <c r="X40" s="30"/>
      <c r="Y40" s="30">
        <f t="shared" si="3"/>
        <v>1.015374192341E-3</v>
      </c>
      <c r="Z40" s="27"/>
      <c r="AB40" s="27">
        <f t="shared" si="4"/>
        <v>7115</v>
      </c>
      <c r="AC40" s="27"/>
      <c r="AE40" s="6"/>
    </row>
    <row r="41" spans="2:31" x14ac:dyDescent="0.3">
      <c r="B41" t="s">
        <v>104</v>
      </c>
      <c r="C41" s="4">
        <v>7582244</v>
      </c>
      <c r="D41" s="4">
        <v>4863</v>
      </c>
      <c r="E41" s="48">
        <v>6.4136685656599997E-4</v>
      </c>
      <c r="I41" s="4"/>
      <c r="K41" t="s">
        <v>105</v>
      </c>
      <c r="L41" s="5">
        <v>7661938.0915999999</v>
      </c>
      <c r="M41">
        <v>4914</v>
      </c>
      <c r="N41" s="4">
        <v>5110</v>
      </c>
      <c r="O41" s="48">
        <v>6.4135208889100001E-4</v>
      </c>
      <c r="S41" s="6"/>
      <c r="T41" t="str">
        <f t="shared" si="0"/>
        <v/>
      </c>
      <c r="U41" s="6" t="str">
        <f t="shared" si="1"/>
        <v>W29</v>
      </c>
      <c r="V41" s="27">
        <f t="shared" si="2"/>
        <v>7661938.0915999999</v>
      </c>
      <c r="W41" s="27"/>
      <c r="X41" s="30"/>
      <c r="Y41" s="30">
        <f t="shared" si="3"/>
        <v>6.4135208889100001E-4</v>
      </c>
      <c r="Z41" s="27"/>
      <c r="AB41" s="27">
        <f t="shared" si="4"/>
        <v>5110</v>
      </c>
      <c r="AC41" s="27"/>
      <c r="AE41" s="6"/>
    </row>
    <row r="42" spans="2:31" x14ac:dyDescent="0.3">
      <c r="B42" t="s">
        <v>106</v>
      </c>
      <c r="C42" s="4">
        <v>7475785</v>
      </c>
      <c r="D42" s="4">
        <v>6192</v>
      </c>
      <c r="E42" s="48">
        <v>8.28274221369E-4</v>
      </c>
      <c r="I42" s="4"/>
      <c r="K42" t="s">
        <v>107</v>
      </c>
      <c r="L42" s="5">
        <v>7442564.3777999999</v>
      </c>
      <c r="M42">
        <v>6164</v>
      </c>
      <c r="N42" s="4">
        <v>5919</v>
      </c>
      <c r="O42" s="48">
        <v>8.2820916113100003E-4</v>
      </c>
      <c r="S42" s="6"/>
      <c r="T42" t="str">
        <f t="shared" si="0"/>
        <v/>
      </c>
      <c r="U42" s="6" t="str">
        <f t="shared" si="1"/>
        <v>W30</v>
      </c>
      <c r="V42" s="27">
        <f t="shared" si="2"/>
        <v>7442564.3777999999</v>
      </c>
      <c r="W42" s="27"/>
      <c r="X42" s="30"/>
      <c r="Y42" s="30">
        <f t="shared" si="3"/>
        <v>8.2820916113100003E-4</v>
      </c>
      <c r="Z42" s="27"/>
      <c r="AB42" s="27">
        <f t="shared" si="4"/>
        <v>5919</v>
      </c>
      <c r="AC42" s="27"/>
      <c r="AE42" s="6"/>
    </row>
    <row r="43" spans="2:31" x14ac:dyDescent="0.3">
      <c r="B43" t="s">
        <v>108</v>
      </c>
      <c r="C43" s="4">
        <v>7798629</v>
      </c>
      <c r="D43" s="4">
        <v>7098</v>
      </c>
      <c r="E43" s="48">
        <v>9.1015997811899998E-4</v>
      </c>
      <c r="I43" s="4"/>
      <c r="K43" t="s">
        <v>109</v>
      </c>
      <c r="L43" s="5">
        <v>7099755.7318000002</v>
      </c>
      <c r="M43">
        <v>6461</v>
      </c>
      <c r="N43" s="4">
        <v>6642</v>
      </c>
      <c r="O43" s="48">
        <v>9.1003130869199997E-4</v>
      </c>
      <c r="S43" s="6"/>
      <c r="T43" t="str">
        <f t="shared" si="0"/>
        <v/>
      </c>
      <c r="U43" s="6" t="str">
        <f t="shared" si="1"/>
        <v>W31</v>
      </c>
      <c r="V43" s="27">
        <f t="shared" si="2"/>
        <v>7099755.7318000002</v>
      </c>
      <c r="W43" s="27"/>
      <c r="X43" s="30"/>
      <c r="Y43" s="30">
        <f t="shared" si="3"/>
        <v>9.1003130869199997E-4</v>
      </c>
      <c r="Z43" s="27"/>
      <c r="AB43" s="27">
        <f t="shared" si="4"/>
        <v>6642</v>
      </c>
      <c r="AC43" s="27"/>
      <c r="AE43" s="6"/>
    </row>
    <row r="44" spans="2:31" x14ac:dyDescent="0.3">
      <c r="B44" t="s">
        <v>110</v>
      </c>
      <c r="C44" s="4">
        <v>6747597</v>
      </c>
      <c r="D44" s="4">
        <v>6170</v>
      </c>
      <c r="E44" s="48">
        <v>9.1439960033200002E-4</v>
      </c>
      <c r="I44" s="4"/>
      <c r="K44" t="s">
        <v>111</v>
      </c>
      <c r="L44" s="5">
        <v>6929266.6677999999</v>
      </c>
      <c r="M44">
        <v>6336</v>
      </c>
      <c r="N44" s="4">
        <v>6412</v>
      </c>
      <c r="O44" s="48">
        <v>9.1438247418599997E-4</v>
      </c>
      <c r="S44" s="6"/>
      <c r="T44" t="str">
        <f t="shared" si="0"/>
        <v/>
      </c>
      <c r="U44" s="6" t="str">
        <f t="shared" si="1"/>
        <v>W32</v>
      </c>
      <c r="V44" s="27">
        <f t="shared" si="2"/>
        <v>6929266.6677999999</v>
      </c>
      <c r="W44" s="27"/>
      <c r="X44" s="30"/>
      <c r="Y44" s="30">
        <f t="shared" si="3"/>
        <v>9.1438247418599997E-4</v>
      </c>
      <c r="Z44" s="27"/>
      <c r="AB44" s="27">
        <f t="shared" si="4"/>
        <v>6412</v>
      </c>
      <c r="AC44" s="27"/>
      <c r="AE44" s="6"/>
    </row>
    <row r="45" spans="2:31" x14ac:dyDescent="0.3">
      <c r="B45" t="s">
        <v>112</v>
      </c>
      <c r="C45" s="4">
        <v>7604476</v>
      </c>
      <c r="D45" s="4">
        <v>5308</v>
      </c>
      <c r="E45" s="48">
        <v>6.9800996150199996E-4</v>
      </c>
      <c r="I45" s="4"/>
      <c r="K45" t="s">
        <v>113</v>
      </c>
      <c r="L45" s="5">
        <v>6601172.0343000004</v>
      </c>
      <c r="M45">
        <v>4608</v>
      </c>
      <c r="N45" s="4">
        <v>4449</v>
      </c>
      <c r="O45" s="48">
        <v>6.98057856401E-4</v>
      </c>
      <c r="S45" s="6"/>
      <c r="T45" t="str">
        <f t="shared" ref="T45:T76" si="5">IF(J45=0,"",J45)</f>
        <v/>
      </c>
      <c r="U45" s="6" t="str">
        <f t="shared" ref="U45:U76" si="6">RIGHT(K45,3)</f>
        <v>W33</v>
      </c>
      <c r="V45" s="27">
        <f t="shared" ref="V45:V76" si="7">L45</f>
        <v>6601172.0343000004</v>
      </c>
      <c r="W45" s="27"/>
      <c r="X45" s="30"/>
      <c r="Y45" s="30">
        <f t="shared" ref="Y45:Y76" si="8">O45</f>
        <v>6.98057856401E-4</v>
      </c>
      <c r="Z45" s="27"/>
      <c r="AB45" s="27">
        <f t="shared" ref="AB45:AB76" si="9">N45</f>
        <v>4449</v>
      </c>
      <c r="AC45" s="27"/>
      <c r="AE45" s="6"/>
    </row>
    <row r="46" spans="2:31" x14ac:dyDescent="0.3">
      <c r="B46" t="s">
        <v>114</v>
      </c>
      <c r="C46" s="4">
        <v>7266178</v>
      </c>
      <c r="D46" s="4">
        <v>7784</v>
      </c>
      <c r="E46" s="48">
        <v>1.0712647006450001E-3</v>
      </c>
      <c r="I46" s="4"/>
      <c r="K46" t="s">
        <v>115</v>
      </c>
      <c r="L46" s="5">
        <v>7202764.1231000004</v>
      </c>
      <c r="M46">
        <v>7716</v>
      </c>
      <c r="N46" s="4">
        <v>8083</v>
      </c>
      <c r="O46" s="48">
        <v>1.0712554053039999E-3</v>
      </c>
      <c r="S46" s="6"/>
      <c r="T46" t="str">
        <f t="shared" si="5"/>
        <v/>
      </c>
      <c r="U46" s="6" t="str">
        <f t="shared" si="6"/>
        <v>W34</v>
      </c>
      <c r="V46" s="27">
        <f t="shared" si="7"/>
        <v>7202764.1231000004</v>
      </c>
      <c r="W46" s="27"/>
      <c r="X46" s="30"/>
      <c r="Y46" s="30">
        <f t="shared" si="8"/>
        <v>1.0712554053039999E-3</v>
      </c>
      <c r="Z46" s="27"/>
      <c r="AB46" s="27">
        <f t="shared" si="9"/>
        <v>8083</v>
      </c>
      <c r="AC46" s="27"/>
      <c r="AE46" s="6"/>
    </row>
    <row r="47" spans="2:31" x14ac:dyDescent="0.3">
      <c r="B47" t="s">
        <v>116</v>
      </c>
      <c r="C47" s="4">
        <v>7130639</v>
      </c>
      <c r="D47" s="4">
        <v>4792</v>
      </c>
      <c r="E47" s="48">
        <v>6.7202953339800002E-4</v>
      </c>
      <c r="I47" s="4"/>
      <c r="K47" t="s">
        <v>117</v>
      </c>
      <c r="L47" s="5">
        <v>7364207.9101</v>
      </c>
      <c r="M47">
        <v>4949</v>
      </c>
      <c r="N47" s="4">
        <v>5103</v>
      </c>
      <c r="O47" s="48">
        <v>6.7203425818699995E-4</v>
      </c>
      <c r="S47" s="6"/>
      <c r="T47" t="str">
        <f t="shared" si="5"/>
        <v/>
      </c>
      <c r="U47" s="6" t="str">
        <f t="shared" si="6"/>
        <v>W35</v>
      </c>
      <c r="V47" s="27">
        <f t="shared" si="7"/>
        <v>7364207.9101</v>
      </c>
      <c r="W47" s="27"/>
      <c r="X47" s="30"/>
      <c r="Y47" s="30">
        <f t="shared" si="8"/>
        <v>6.7203425818699995E-4</v>
      </c>
      <c r="Z47" s="27"/>
      <c r="AB47" s="27">
        <f t="shared" si="9"/>
        <v>5103</v>
      </c>
      <c r="AC47" s="27"/>
      <c r="AE47" s="6"/>
    </row>
    <row r="48" spans="2:31" x14ac:dyDescent="0.3">
      <c r="B48" t="s">
        <v>118</v>
      </c>
      <c r="C48" s="4">
        <v>7441577</v>
      </c>
      <c r="D48" s="4">
        <v>6137</v>
      </c>
      <c r="E48" s="48">
        <v>8.2469078798800004E-4</v>
      </c>
      <c r="I48" s="4"/>
      <c r="K48" t="s">
        <v>119</v>
      </c>
      <c r="L48" s="5">
        <v>7915196.0184000004</v>
      </c>
      <c r="M48">
        <v>6528</v>
      </c>
      <c r="N48" s="4">
        <v>6682</v>
      </c>
      <c r="O48" s="48">
        <v>8.2474268291299997E-4</v>
      </c>
      <c r="S48" s="6"/>
      <c r="T48" t="str">
        <f t="shared" si="5"/>
        <v/>
      </c>
      <c r="U48" s="6" t="str">
        <f t="shared" si="6"/>
        <v>W36</v>
      </c>
      <c r="V48" s="27">
        <f t="shared" si="7"/>
        <v>7915196.0184000004</v>
      </c>
      <c r="W48" s="27"/>
      <c r="X48" s="30"/>
      <c r="Y48" s="30">
        <f t="shared" si="8"/>
        <v>8.2474268291299997E-4</v>
      </c>
      <c r="Z48" s="27"/>
      <c r="AB48" s="27">
        <f t="shared" si="9"/>
        <v>6682</v>
      </c>
      <c r="AC48" s="27"/>
      <c r="AE48" s="6"/>
    </row>
    <row r="49" spans="2:31" x14ac:dyDescent="0.3">
      <c r="B49" t="s">
        <v>120</v>
      </c>
      <c r="C49" s="4">
        <v>7452710</v>
      </c>
      <c r="D49" s="4">
        <v>5792</v>
      </c>
      <c r="E49" s="48">
        <v>7.7716696342699999E-4</v>
      </c>
      <c r="I49" s="4"/>
      <c r="K49" t="s">
        <v>121</v>
      </c>
      <c r="L49" s="5">
        <v>6875000.9664000003</v>
      </c>
      <c r="M49">
        <v>5343</v>
      </c>
      <c r="N49" s="4">
        <v>5253</v>
      </c>
      <c r="O49" s="48">
        <v>7.7716352711999998E-4</v>
      </c>
      <c r="S49" s="6"/>
      <c r="T49" t="str">
        <f t="shared" si="5"/>
        <v/>
      </c>
      <c r="U49" s="6" t="str">
        <f t="shared" si="6"/>
        <v>W37</v>
      </c>
      <c r="V49" s="27">
        <f t="shared" si="7"/>
        <v>6875000.9664000003</v>
      </c>
      <c r="W49" s="27"/>
      <c r="X49" s="30"/>
      <c r="Y49" s="30">
        <f t="shared" si="8"/>
        <v>7.7716352711999998E-4</v>
      </c>
      <c r="Z49" s="27"/>
      <c r="AB49" s="27">
        <f t="shared" si="9"/>
        <v>5253</v>
      </c>
      <c r="AC49" s="27"/>
      <c r="AE49" s="6"/>
    </row>
    <row r="50" spans="2:31" x14ac:dyDescent="0.3">
      <c r="B50" t="s">
        <v>122</v>
      </c>
      <c r="C50" s="4">
        <v>7022656</v>
      </c>
      <c r="D50" s="4">
        <v>7338</v>
      </c>
      <c r="E50" s="48">
        <v>1.044903808474E-3</v>
      </c>
      <c r="I50" s="4"/>
      <c r="K50" t="s">
        <v>123</v>
      </c>
      <c r="L50" s="5">
        <v>6795821.7269000001</v>
      </c>
      <c r="M50">
        <v>7101</v>
      </c>
      <c r="N50" s="4">
        <v>7360</v>
      </c>
      <c r="O50" s="48">
        <v>1.0449067508480001E-3</v>
      </c>
      <c r="S50" s="6"/>
      <c r="T50" t="str">
        <f t="shared" si="5"/>
        <v/>
      </c>
      <c r="U50" s="6" t="str">
        <f t="shared" si="6"/>
        <v>W38</v>
      </c>
      <c r="V50" s="27">
        <f t="shared" si="7"/>
        <v>6795821.7269000001</v>
      </c>
      <c r="W50" s="27"/>
      <c r="X50" s="30"/>
      <c r="Y50" s="30">
        <f t="shared" si="8"/>
        <v>1.0449067508480001E-3</v>
      </c>
      <c r="Z50" s="27"/>
      <c r="AB50" s="27">
        <f t="shared" si="9"/>
        <v>7360</v>
      </c>
      <c r="AC50" s="27"/>
      <c r="AE50" s="6"/>
    </row>
    <row r="51" spans="2:31" x14ac:dyDescent="0.3">
      <c r="B51" t="s">
        <v>124</v>
      </c>
      <c r="C51" s="4">
        <v>7557705</v>
      </c>
      <c r="D51" s="4">
        <v>5187</v>
      </c>
      <c r="E51" s="48">
        <v>6.8631945808900001E-4</v>
      </c>
      <c r="I51" s="4"/>
      <c r="K51" t="s">
        <v>125</v>
      </c>
      <c r="L51" s="5">
        <v>6883040.284</v>
      </c>
      <c r="M51">
        <v>4724</v>
      </c>
      <c r="N51" s="4">
        <v>4871</v>
      </c>
      <c r="O51" s="48">
        <v>6.8632461893099997E-4</v>
      </c>
      <c r="S51" s="6"/>
      <c r="T51" t="str">
        <f t="shared" si="5"/>
        <v/>
      </c>
      <c r="U51" s="6" t="str">
        <f t="shared" si="6"/>
        <v>W39</v>
      </c>
      <c r="V51" s="27">
        <f t="shared" si="7"/>
        <v>6883040.284</v>
      </c>
      <c r="W51" s="27"/>
      <c r="X51" s="30"/>
      <c r="Y51" s="30">
        <f t="shared" si="8"/>
        <v>6.8632461893099997E-4</v>
      </c>
      <c r="Z51" s="27"/>
      <c r="AB51" s="27">
        <f t="shared" si="9"/>
        <v>4871</v>
      </c>
      <c r="AC51" s="27"/>
      <c r="AE51" s="6"/>
    </row>
    <row r="52" spans="2:31" x14ac:dyDescent="0.3">
      <c r="B52" t="s">
        <v>126</v>
      </c>
      <c r="C52" s="4">
        <v>7160419</v>
      </c>
      <c r="D52" s="4">
        <v>5529</v>
      </c>
      <c r="E52" s="48">
        <v>7.72161517364E-4</v>
      </c>
      <c r="I52" s="4"/>
      <c r="K52" t="s">
        <v>127</v>
      </c>
      <c r="L52" s="5">
        <v>7320343.5939999996</v>
      </c>
      <c r="M52">
        <v>5653</v>
      </c>
      <c r="N52" s="4">
        <v>5431</v>
      </c>
      <c r="O52" s="48">
        <v>7.7223151173300001E-4</v>
      </c>
      <c r="S52" s="6"/>
      <c r="T52" t="str">
        <f t="shared" si="5"/>
        <v/>
      </c>
      <c r="U52" s="6" t="str">
        <f t="shared" si="6"/>
        <v>W40</v>
      </c>
      <c r="V52" s="27">
        <f t="shared" si="7"/>
        <v>7320343.5939999996</v>
      </c>
      <c r="W52" s="27"/>
      <c r="X52" s="30"/>
      <c r="Y52" s="30">
        <f t="shared" si="8"/>
        <v>7.7223151173300001E-4</v>
      </c>
      <c r="Z52" s="27"/>
      <c r="AB52" s="27">
        <f t="shared" si="9"/>
        <v>5431</v>
      </c>
      <c r="AC52" s="27"/>
      <c r="AE52" s="6"/>
    </row>
    <row r="53" spans="2:31" x14ac:dyDescent="0.3">
      <c r="B53" t="s">
        <v>128</v>
      </c>
      <c r="C53" s="4">
        <v>6919044</v>
      </c>
      <c r="D53" s="4">
        <v>7351</v>
      </c>
      <c r="E53" s="48">
        <v>1.0624300120070001E-3</v>
      </c>
      <c r="I53" s="4"/>
      <c r="K53" t="s">
        <v>129</v>
      </c>
      <c r="L53" s="5">
        <v>6947537.8908000002</v>
      </c>
      <c r="M53">
        <v>7382</v>
      </c>
      <c r="N53" s="4">
        <v>7657</v>
      </c>
      <c r="O53" s="48">
        <v>1.0625346872559999E-3</v>
      </c>
      <c r="S53" s="6"/>
      <c r="T53" t="str">
        <f t="shared" si="5"/>
        <v/>
      </c>
      <c r="U53" s="6" t="str">
        <f t="shared" si="6"/>
        <v>W41</v>
      </c>
      <c r="V53" s="27">
        <f t="shared" si="7"/>
        <v>6947537.8908000002</v>
      </c>
      <c r="W53" s="27"/>
      <c r="X53" s="30"/>
      <c r="Y53" s="30">
        <f t="shared" si="8"/>
        <v>1.0625346872559999E-3</v>
      </c>
      <c r="Z53" s="27"/>
      <c r="AB53" s="27">
        <f t="shared" si="9"/>
        <v>7657</v>
      </c>
      <c r="AC53" s="27"/>
      <c r="AE53" s="6"/>
    </row>
    <row r="54" spans="2:31" x14ac:dyDescent="0.3">
      <c r="B54" t="s">
        <v>130</v>
      </c>
      <c r="C54" s="4">
        <v>6510356</v>
      </c>
      <c r="D54" s="4">
        <v>5645</v>
      </c>
      <c r="E54" s="48">
        <v>8.6708007979899998E-4</v>
      </c>
      <c r="I54" s="4"/>
      <c r="K54" t="s">
        <v>131</v>
      </c>
      <c r="L54" s="5">
        <v>6662939.2637999998</v>
      </c>
      <c r="M54">
        <v>5777</v>
      </c>
      <c r="N54" s="4">
        <v>5960</v>
      </c>
      <c r="O54" s="48">
        <v>8.6703476818200003E-4</v>
      </c>
      <c r="S54" s="6"/>
      <c r="T54" t="str">
        <f t="shared" si="5"/>
        <v/>
      </c>
      <c r="U54" s="6" t="str">
        <f t="shared" si="6"/>
        <v>W42</v>
      </c>
      <c r="V54" s="27">
        <f t="shared" si="7"/>
        <v>6662939.2637999998</v>
      </c>
      <c r="W54" s="27"/>
      <c r="X54" s="30"/>
      <c r="Y54" s="30">
        <f t="shared" si="8"/>
        <v>8.6703476818200003E-4</v>
      </c>
      <c r="Z54" s="27"/>
      <c r="AB54" s="27">
        <f t="shared" si="9"/>
        <v>5960</v>
      </c>
      <c r="AC54" s="27"/>
      <c r="AE54" s="6"/>
    </row>
    <row r="55" spans="2:31" x14ac:dyDescent="0.3">
      <c r="B55" t="s">
        <v>132</v>
      </c>
      <c r="C55" s="4">
        <v>6957765</v>
      </c>
      <c r="D55" s="4">
        <v>4992</v>
      </c>
      <c r="E55" s="48">
        <v>7.1747177434099997E-4</v>
      </c>
      <c r="I55" s="4"/>
      <c r="K55" t="s">
        <v>133</v>
      </c>
      <c r="L55" s="5">
        <v>7183763.2369999997</v>
      </c>
      <c r="M55">
        <v>5154</v>
      </c>
      <c r="N55" s="4">
        <v>5134</v>
      </c>
      <c r="O55" s="48">
        <v>7.1745126195899998E-4</v>
      </c>
      <c r="S55" s="6"/>
      <c r="T55" t="str">
        <f t="shared" si="5"/>
        <v/>
      </c>
      <c r="U55" s="6" t="str">
        <f t="shared" si="6"/>
        <v>W43</v>
      </c>
      <c r="V55" s="27">
        <f t="shared" si="7"/>
        <v>7183763.2369999997</v>
      </c>
      <c r="W55" s="27"/>
      <c r="X55" s="30"/>
      <c r="Y55" s="30">
        <f t="shared" si="8"/>
        <v>7.1745126195899998E-4</v>
      </c>
      <c r="Z55" s="27"/>
      <c r="AB55" s="27">
        <f t="shared" si="9"/>
        <v>5134</v>
      </c>
      <c r="AC55" s="27"/>
      <c r="AE55" s="6"/>
    </row>
    <row r="56" spans="2:31" x14ac:dyDescent="0.3">
      <c r="B56" t="s">
        <v>134</v>
      </c>
      <c r="C56" s="4">
        <v>7571905</v>
      </c>
      <c r="D56" s="4">
        <v>5370</v>
      </c>
      <c r="E56" s="48">
        <v>7.0920065690200003E-4</v>
      </c>
      <c r="I56" s="4"/>
      <c r="K56" t="s">
        <v>135</v>
      </c>
      <c r="L56" s="5">
        <v>7022177.1503999997</v>
      </c>
      <c r="M56">
        <v>4980</v>
      </c>
      <c r="N56" s="4">
        <v>4844</v>
      </c>
      <c r="O56" s="48">
        <v>7.0918176704200004E-4</v>
      </c>
      <c r="S56" s="6"/>
      <c r="T56" t="str">
        <f t="shared" si="5"/>
        <v/>
      </c>
      <c r="U56" s="6" t="str">
        <f t="shared" si="6"/>
        <v>W44</v>
      </c>
      <c r="V56" s="27">
        <f t="shared" si="7"/>
        <v>7022177.1503999997</v>
      </c>
      <c r="W56" s="27"/>
      <c r="X56" s="30"/>
      <c r="Y56" s="30">
        <f t="shared" si="8"/>
        <v>7.0918176704200004E-4</v>
      </c>
      <c r="Z56" s="27"/>
      <c r="AB56" s="27">
        <f t="shared" si="9"/>
        <v>4844</v>
      </c>
      <c r="AC56" s="27"/>
      <c r="AE56" s="6"/>
    </row>
    <row r="57" spans="2:31" x14ac:dyDescent="0.3">
      <c r="B57" t="s">
        <v>136</v>
      </c>
      <c r="C57" s="4">
        <v>7225986</v>
      </c>
      <c r="D57" s="4">
        <v>7597</v>
      </c>
      <c r="E57" s="48">
        <v>1.051344411683E-3</v>
      </c>
      <c r="I57" s="4"/>
      <c r="K57" t="s">
        <v>137</v>
      </c>
      <c r="L57" s="5">
        <v>7077249.0257999999</v>
      </c>
      <c r="M57">
        <v>7440</v>
      </c>
      <c r="N57" s="4">
        <v>7086</v>
      </c>
      <c r="O57" s="48">
        <v>1.0512559290869999E-3</v>
      </c>
      <c r="S57" s="6"/>
      <c r="T57" t="str">
        <f t="shared" si="5"/>
        <v/>
      </c>
      <c r="U57" s="6" t="str">
        <f t="shared" si="6"/>
        <v>W45</v>
      </c>
      <c r="V57" s="27">
        <f t="shared" si="7"/>
        <v>7077249.0257999999</v>
      </c>
      <c r="W57" s="27"/>
      <c r="X57" s="30"/>
      <c r="Y57" s="30">
        <f t="shared" si="8"/>
        <v>1.0512559290869999E-3</v>
      </c>
      <c r="Z57" s="27"/>
      <c r="AB57" s="27">
        <f t="shared" si="9"/>
        <v>7086</v>
      </c>
      <c r="AC57" s="27"/>
      <c r="AE57" s="6"/>
    </row>
    <row r="58" spans="2:31" x14ac:dyDescent="0.3">
      <c r="B58" t="s">
        <v>138</v>
      </c>
      <c r="C58" s="4">
        <v>7512144</v>
      </c>
      <c r="D58" s="4">
        <v>6361</v>
      </c>
      <c r="E58" s="48">
        <v>8.4676225588900002E-4</v>
      </c>
      <c r="I58" s="4"/>
      <c r="K58" t="s">
        <v>139</v>
      </c>
      <c r="L58" s="5">
        <v>7328216.8912000004</v>
      </c>
      <c r="M58">
        <v>6206</v>
      </c>
      <c r="N58" s="4">
        <v>6432</v>
      </c>
      <c r="O58" s="48">
        <v>8.4686358116000001E-4</v>
      </c>
      <c r="S58" s="6"/>
      <c r="T58" t="str">
        <f t="shared" si="5"/>
        <v/>
      </c>
      <c r="U58" s="6" t="str">
        <f t="shared" si="6"/>
        <v>W46</v>
      </c>
      <c r="V58" s="27">
        <f t="shared" si="7"/>
        <v>7328216.8912000004</v>
      </c>
      <c r="W58" s="27"/>
      <c r="X58" s="30"/>
      <c r="Y58" s="30">
        <f t="shared" si="8"/>
        <v>8.4686358116000001E-4</v>
      </c>
      <c r="Z58" s="27"/>
      <c r="AB58" s="27">
        <f t="shared" si="9"/>
        <v>6432</v>
      </c>
      <c r="AC58" s="27"/>
      <c r="AE58" s="6"/>
    </row>
    <row r="59" spans="2:31" x14ac:dyDescent="0.3">
      <c r="B59" t="s">
        <v>140</v>
      </c>
      <c r="C59" s="4">
        <v>7208873</v>
      </c>
      <c r="D59" s="4">
        <v>6671</v>
      </c>
      <c r="E59" s="48">
        <v>9.2538736637499995E-4</v>
      </c>
      <c r="I59" s="4"/>
      <c r="K59" t="s">
        <v>141</v>
      </c>
      <c r="L59" s="5">
        <v>6648151.9555000002</v>
      </c>
      <c r="M59">
        <v>6152</v>
      </c>
      <c r="N59" s="4">
        <v>6439</v>
      </c>
      <c r="O59" s="48">
        <v>9.2536994358399999E-4</v>
      </c>
      <c r="S59" s="6"/>
      <c r="T59" t="str">
        <f t="shared" si="5"/>
        <v/>
      </c>
      <c r="U59" s="6" t="str">
        <f t="shared" si="6"/>
        <v>W47</v>
      </c>
      <c r="V59" s="27">
        <f t="shared" si="7"/>
        <v>6648151.9555000002</v>
      </c>
      <c r="W59" s="27"/>
      <c r="X59" s="30"/>
      <c r="Y59" s="30">
        <f t="shared" si="8"/>
        <v>9.2536994358399999E-4</v>
      </c>
      <c r="Z59" s="27"/>
      <c r="AB59" s="27">
        <f t="shared" si="9"/>
        <v>6439</v>
      </c>
      <c r="AC59" s="27"/>
      <c r="AE59" s="6"/>
    </row>
    <row r="60" spans="2:31" x14ac:dyDescent="0.3">
      <c r="B60" t="s">
        <v>142</v>
      </c>
      <c r="C60" s="4">
        <v>7424874</v>
      </c>
      <c r="D60" s="4">
        <v>5650</v>
      </c>
      <c r="E60" s="48">
        <v>7.6095567412999999E-4</v>
      </c>
      <c r="I60" s="4"/>
      <c r="K60" t="s">
        <v>143</v>
      </c>
      <c r="L60" s="5">
        <v>7132687.8108000001</v>
      </c>
      <c r="M60">
        <v>5427</v>
      </c>
      <c r="N60" s="4">
        <v>5373</v>
      </c>
      <c r="O60" s="48">
        <v>7.6086324594E-4</v>
      </c>
      <c r="S60" s="6"/>
      <c r="T60" t="str">
        <f t="shared" si="5"/>
        <v/>
      </c>
      <c r="U60" s="6" t="str">
        <f t="shared" si="6"/>
        <v>W48</v>
      </c>
      <c r="V60" s="27">
        <f t="shared" si="7"/>
        <v>7132687.8108000001</v>
      </c>
      <c r="W60" s="27"/>
      <c r="X60" s="30"/>
      <c r="Y60" s="30">
        <f t="shared" si="8"/>
        <v>7.6086324594E-4</v>
      </c>
      <c r="Z60" s="27"/>
      <c r="AB60" s="27">
        <f t="shared" si="9"/>
        <v>5373</v>
      </c>
      <c r="AC60" s="27"/>
      <c r="AE60" s="6"/>
    </row>
    <row r="61" spans="2:31" x14ac:dyDescent="0.3">
      <c r="B61" t="s">
        <v>144</v>
      </c>
      <c r="C61" s="4">
        <v>7486826</v>
      </c>
      <c r="D61" s="4">
        <v>7571</v>
      </c>
      <c r="E61" s="48">
        <v>1.0112429486139999E-3</v>
      </c>
      <c r="I61" s="4"/>
      <c r="K61" t="s">
        <v>145</v>
      </c>
      <c r="L61" s="5">
        <v>6945821.1584999999</v>
      </c>
      <c r="M61">
        <v>7024</v>
      </c>
      <c r="N61" s="4">
        <v>7362</v>
      </c>
      <c r="O61" s="48">
        <v>1.011255521805E-3</v>
      </c>
      <c r="S61" s="6"/>
      <c r="T61" t="str">
        <f t="shared" si="5"/>
        <v/>
      </c>
      <c r="U61" s="6" t="str">
        <f t="shared" si="6"/>
        <v>W49</v>
      </c>
      <c r="V61" s="27">
        <f t="shared" si="7"/>
        <v>6945821.1584999999</v>
      </c>
      <c r="W61" s="27"/>
      <c r="X61" s="30"/>
      <c r="Y61" s="30">
        <f t="shared" si="8"/>
        <v>1.011255521805E-3</v>
      </c>
      <c r="Z61" s="27"/>
      <c r="AB61" s="27">
        <f t="shared" si="9"/>
        <v>7362</v>
      </c>
      <c r="AC61" s="27"/>
      <c r="AE61" s="6"/>
    </row>
    <row r="62" spans="2:31" x14ac:dyDescent="0.3">
      <c r="B62" t="s">
        <v>146</v>
      </c>
      <c r="C62" s="4">
        <v>7743026</v>
      </c>
      <c r="D62" s="4">
        <v>3516</v>
      </c>
      <c r="E62" s="48">
        <v>4.5408603819700001E-4</v>
      </c>
      <c r="I62" s="4"/>
      <c r="K62" t="s">
        <v>147</v>
      </c>
      <c r="L62" s="5">
        <v>6834455.0247999998</v>
      </c>
      <c r="M62">
        <v>3104</v>
      </c>
      <c r="N62" s="4">
        <v>2985</v>
      </c>
      <c r="O62" s="48">
        <v>4.5416935055300002E-4</v>
      </c>
      <c r="S62" s="6"/>
      <c r="T62" t="str">
        <f t="shared" si="5"/>
        <v/>
      </c>
      <c r="U62" s="6" t="str">
        <f t="shared" si="6"/>
        <v>W50</v>
      </c>
      <c r="V62" s="27">
        <f t="shared" si="7"/>
        <v>6834455.0247999998</v>
      </c>
      <c r="W62" s="27"/>
      <c r="X62" s="30"/>
      <c r="Y62" s="30">
        <f t="shared" si="8"/>
        <v>4.5416935055300002E-4</v>
      </c>
      <c r="Z62" s="27"/>
      <c r="AB62" s="27">
        <f t="shared" si="9"/>
        <v>2985</v>
      </c>
      <c r="AC62" s="27"/>
      <c r="AE62" s="6"/>
    </row>
    <row r="63" spans="2:31" x14ac:dyDescent="0.3">
      <c r="B63" t="s">
        <v>148</v>
      </c>
      <c r="C63" s="4">
        <v>7609468</v>
      </c>
      <c r="D63" s="4">
        <v>5478</v>
      </c>
      <c r="E63" s="48">
        <v>7.1989263901199997E-4</v>
      </c>
      <c r="I63" s="4"/>
      <c r="K63" t="s">
        <v>149</v>
      </c>
      <c r="L63" s="5">
        <v>6996922.4434000002</v>
      </c>
      <c r="M63">
        <v>5037</v>
      </c>
      <c r="N63" s="4">
        <v>5274</v>
      </c>
      <c r="O63" s="48">
        <v>7.19887927978E-4</v>
      </c>
      <c r="S63" s="6"/>
      <c r="T63" t="str">
        <f t="shared" si="5"/>
        <v/>
      </c>
      <c r="U63" s="6" t="str">
        <f t="shared" si="6"/>
        <v>W51</v>
      </c>
      <c r="V63" s="27">
        <f t="shared" si="7"/>
        <v>6996922.4434000002</v>
      </c>
      <c r="W63" s="27"/>
      <c r="X63" s="30"/>
      <c r="Y63" s="30">
        <f t="shared" si="8"/>
        <v>7.19887927978E-4</v>
      </c>
      <c r="Z63" s="27"/>
      <c r="AB63" s="27">
        <f t="shared" si="9"/>
        <v>5274</v>
      </c>
      <c r="AC63" s="27"/>
      <c r="AE63" s="6"/>
    </row>
    <row r="64" spans="2:31" x14ac:dyDescent="0.3">
      <c r="B64" t="s">
        <v>150</v>
      </c>
      <c r="C64" s="4">
        <v>6843887</v>
      </c>
      <c r="D64" s="4">
        <v>6617</v>
      </c>
      <c r="E64" s="48">
        <v>9.6684822528500004E-4</v>
      </c>
      <c r="I64" s="4"/>
      <c r="K64" t="s">
        <v>151</v>
      </c>
      <c r="L64" s="5">
        <v>6553990.0395999998</v>
      </c>
      <c r="M64">
        <v>6336</v>
      </c>
      <c r="N64" s="4">
        <v>6187</v>
      </c>
      <c r="O64" s="48">
        <v>9.6673933919900004E-4</v>
      </c>
      <c r="S64" s="49"/>
      <c r="T64" s="50" t="str">
        <f t="shared" si="5"/>
        <v/>
      </c>
      <c r="U64" s="49" t="str">
        <f t="shared" si="6"/>
        <v>W52</v>
      </c>
      <c r="V64" s="37">
        <f t="shared" si="7"/>
        <v>6553990.0395999998</v>
      </c>
      <c r="W64" s="37"/>
      <c r="X64" s="40"/>
      <c r="Y64" s="40">
        <f t="shared" si="8"/>
        <v>9.6673933919900004E-4</v>
      </c>
      <c r="Z64" s="37"/>
      <c r="AB64" s="37">
        <f t="shared" si="9"/>
        <v>6187</v>
      </c>
      <c r="AC64" s="37"/>
      <c r="AE64" s="6"/>
    </row>
    <row r="65" spans="1:31" x14ac:dyDescent="0.3">
      <c r="A65" t="s">
        <v>152</v>
      </c>
      <c r="B65" t="s">
        <v>153</v>
      </c>
      <c r="C65" s="4">
        <v>6914044</v>
      </c>
      <c r="D65" s="4">
        <v>7926</v>
      </c>
      <c r="E65" s="48">
        <v>1.1463623893629999E-3</v>
      </c>
      <c r="I65" s="4"/>
      <c r="J65" t="s">
        <v>154</v>
      </c>
      <c r="K65" t="s">
        <v>155</v>
      </c>
      <c r="L65" s="5">
        <v>7376299.0168000003</v>
      </c>
      <c r="M65">
        <v>8456</v>
      </c>
      <c r="N65" s="4">
        <v>8125</v>
      </c>
      <c r="O65" s="48">
        <v>1.1463743512490001E-3</v>
      </c>
      <c r="S65" s="6"/>
      <c r="T65" t="str">
        <f t="shared" si="5"/>
        <v>FY2026</v>
      </c>
      <c r="U65" s="6" t="str">
        <f t="shared" si="6"/>
        <v>W01</v>
      </c>
      <c r="V65" s="27">
        <f t="shared" si="7"/>
        <v>7376299.0168000003</v>
      </c>
      <c r="W65" s="27"/>
      <c r="X65" s="30"/>
      <c r="Y65" s="30">
        <f t="shared" si="8"/>
        <v>1.1463743512490001E-3</v>
      </c>
      <c r="Z65" s="27"/>
      <c r="AB65" s="27">
        <f t="shared" si="9"/>
        <v>8125</v>
      </c>
      <c r="AC65" s="27"/>
      <c r="AE65" s="6"/>
    </row>
    <row r="66" spans="1:31" x14ac:dyDescent="0.3">
      <c r="B66" t="s">
        <v>156</v>
      </c>
      <c r="C66" s="4">
        <v>7243928</v>
      </c>
      <c r="D66" s="4">
        <v>4187</v>
      </c>
      <c r="E66" s="48">
        <v>5.7800132745699996E-4</v>
      </c>
      <c r="I66" s="4"/>
      <c r="K66" t="s">
        <v>157</v>
      </c>
      <c r="L66" s="5">
        <v>7116628.4817000004</v>
      </c>
      <c r="M66">
        <v>4113</v>
      </c>
      <c r="N66" s="4">
        <v>4036</v>
      </c>
      <c r="O66" s="48">
        <v>5.7794221105900005E-4</v>
      </c>
      <c r="S66" s="6"/>
      <c r="T66" t="str">
        <f t="shared" si="5"/>
        <v/>
      </c>
      <c r="U66" s="6" t="str">
        <f t="shared" si="6"/>
        <v>W02</v>
      </c>
      <c r="V66" s="27">
        <f t="shared" si="7"/>
        <v>7116628.4817000004</v>
      </c>
      <c r="W66" s="27"/>
      <c r="X66" s="30"/>
      <c r="Y66" s="30">
        <f t="shared" si="8"/>
        <v>5.7794221105900005E-4</v>
      </c>
      <c r="Z66" s="27"/>
      <c r="AB66" s="27">
        <f t="shared" si="9"/>
        <v>4036</v>
      </c>
      <c r="AC66" s="27"/>
      <c r="AE66" s="6"/>
    </row>
    <row r="67" spans="1:31" x14ac:dyDescent="0.3">
      <c r="B67" t="s">
        <v>158</v>
      </c>
      <c r="C67" s="4">
        <v>6129057</v>
      </c>
      <c r="D67" s="4">
        <v>5497</v>
      </c>
      <c r="E67" s="48">
        <v>8.9687532682400004E-4</v>
      </c>
      <c r="I67" s="4"/>
      <c r="K67" t="s">
        <v>159</v>
      </c>
      <c r="L67" s="5">
        <v>7120320.7666999996</v>
      </c>
      <c r="M67">
        <v>6386</v>
      </c>
      <c r="N67" s="4">
        <v>6454</v>
      </c>
      <c r="O67" s="48">
        <v>8.9686970703100005E-4</v>
      </c>
      <c r="S67" s="6"/>
      <c r="T67" t="str">
        <f t="shared" si="5"/>
        <v/>
      </c>
      <c r="U67" s="6" t="str">
        <f t="shared" si="6"/>
        <v>W03</v>
      </c>
      <c r="V67" s="27">
        <f t="shared" si="7"/>
        <v>7120320.7666999996</v>
      </c>
      <c r="W67" s="27"/>
      <c r="X67" s="30"/>
      <c r="Y67" s="30">
        <f t="shared" si="8"/>
        <v>8.9686970703100005E-4</v>
      </c>
      <c r="Z67" s="27"/>
      <c r="AB67" s="27">
        <f t="shared" si="9"/>
        <v>6454</v>
      </c>
      <c r="AC67" s="27"/>
      <c r="AE67" s="6"/>
    </row>
    <row r="68" spans="1:31" x14ac:dyDescent="0.3">
      <c r="B68" t="s">
        <v>160</v>
      </c>
      <c r="C68" s="4">
        <v>7126592</v>
      </c>
      <c r="D68" s="4">
        <v>4650</v>
      </c>
      <c r="E68" s="48">
        <v>6.5248578843900003E-4</v>
      </c>
      <c r="I68" s="4"/>
      <c r="K68" t="s">
        <v>161</v>
      </c>
      <c r="L68" s="5">
        <v>6669592.6904999996</v>
      </c>
      <c r="M68">
        <v>4351</v>
      </c>
      <c r="N68" s="4">
        <v>4384</v>
      </c>
      <c r="O68" s="48">
        <v>6.5236367525099996E-4</v>
      </c>
      <c r="S68" s="6"/>
      <c r="T68" t="str">
        <f t="shared" si="5"/>
        <v/>
      </c>
      <c r="U68" s="6" t="str">
        <f t="shared" si="6"/>
        <v>W04</v>
      </c>
      <c r="V68" s="27">
        <f t="shared" si="7"/>
        <v>6669592.6904999996</v>
      </c>
      <c r="W68" s="27"/>
      <c r="X68" s="30"/>
      <c r="Y68" s="30">
        <f t="shared" si="8"/>
        <v>6.5236367525099996E-4</v>
      </c>
      <c r="Z68" s="27"/>
      <c r="AB68" s="27">
        <f t="shared" si="9"/>
        <v>4384</v>
      </c>
      <c r="AC68" s="27"/>
      <c r="AE68" s="6"/>
    </row>
    <row r="69" spans="1:31" x14ac:dyDescent="0.3">
      <c r="B69" t="s">
        <v>162</v>
      </c>
      <c r="C69" s="4">
        <v>6693291</v>
      </c>
      <c r="D69" s="4">
        <v>5284</v>
      </c>
      <c r="E69" s="48">
        <v>7.8944722409299999E-4</v>
      </c>
      <c r="I69" s="4"/>
      <c r="K69" t="s">
        <v>163</v>
      </c>
      <c r="L69" s="5">
        <v>6833745.4621000001</v>
      </c>
      <c r="M69">
        <v>5394</v>
      </c>
      <c r="N69" s="4">
        <v>5262</v>
      </c>
      <c r="O69" s="48">
        <v>7.8931824866999996E-4</v>
      </c>
      <c r="S69" s="6"/>
      <c r="T69" t="str">
        <f t="shared" si="5"/>
        <v/>
      </c>
      <c r="U69" s="6" t="str">
        <f t="shared" si="6"/>
        <v>W05</v>
      </c>
      <c r="V69" s="27">
        <f t="shared" si="7"/>
        <v>6833745.4621000001</v>
      </c>
      <c r="W69" s="27"/>
      <c r="X69" s="30"/>
      <c r="Y69" s="30">
        <f t="shared" si="8"/>
        <v>7.8931824866999996E-4</v>
      </c>
      <c r="Z69" s="27"/>
      <c r="AB69" s="27">
        <f t="shared" si="9"/>
        <v>5262</v>
      </c>
      <c r="AC69" s="27"/>
      <c r="AE69" s="6"/>
    </row>
    <row r="70" spans="1:31" x14ac:dyDescent="0.3">
      <c r="B70" t="s">
        <v>164</v>
      </c>
      <c r="C70" s="4">
        <v>7482591</v>
      </c>
      <c r="D70" s="4">
        <v>5969</v>
      </c>
      <c r="E70" s="48">
        <v>7.9771833045499995E-4</v>
      </c>
      <c r="I70" s="4"/>
      <c r="K70" t="s">
        <v>165</v>
      </c>
      <c r="L70" s="5">
        <v>6453902.9622</v>
      </c>
      <c r="M70">
        <v>5149</v>
      </c>
      <c r="N70" s="4">
        <v>5368</v>
      </c>
      <c r="O70" s="48">
        <v>7.97811809405E-4</v>
      </c>
      <c r="S70" s="6"/>
      <c r="T70" t="str">
        <f t="shared" si="5"/>
        <v/>
      </c>
      <c r="U70" s="6" t="str">
        <f t="shared" si="6"/>
        <v>W06</v>
      </c>
      <c r="V70" s="27">
        <f t="shared" si="7"/>
        <v>6453902.9622</v>
      </c>
      <c r="W70" s="27"/>
      <c r="X70" s="30"/>
      <c r="Y70" s="30">
        <f t="shared" si="8"/>
        <v>7.97811809405E-4</v>
      </c>
      <c r="Z70" s="27"/>
      <c r="AB70" s="27">
        <f t="shared" si="9"/>
        <v>5368</v>
      </c>
      <c r="AC70" s="27"/>
      <c r="AE70" s="6"/>
    </row>
    <row r="71" spans="1:31" x14ac:dyDescent="0.3">
      <c r="B71" t="s">
        <v>166</v>
      </c>
      <c r="C71" s="4">
        <v>6719586</v>
      </c>
      <c r="D71" s="4">
        <v>5319</v>
      </c>
      <c r="E71" s="48">
        <v>7.9156662330099996E-4</v>
      </c>
      <c r="I71" s="4"/>
      <c r="K71" t="s">
        <v>167</v>
      </c>
      <c r="L71" s="5">
        <v>7251195.8899999997</v>
      </c>
      <c r="M71">
        <v>5740</v>
      </c>
      <c r="N71" s="4">
        <v>5762</v>
      </c>
      <c r="O71" s="48">
        <v>7.9159356430000001E-4</v>
      </c>
      <c r="S71" s="6"/>
      <c r="T71" t="str">
        <f t="shared" si="5"/>
        <v/>
      </c>
      <c r="U71" s="6" t="str">
        <f t="shared" si="6"/>
        <v>W07</v>
      </c>
      <c r="V71" s="27">
        <f t="shared" si="7"/>
        <v>7251195.8899999997</v>
      </c>
      <c r="W71" s="27"/>
      <c r="X71" s="30"/>
      <c r="Y71" s="30">
        <f t="shared" si="8"/>
        <v>7.9159356430000001E-4</v>
      </c>
      <c r="Z71" s="27"/>
      <c r="AB71" s="27">
        <f t="shared" si="9"/>
        <v>5762</v>
      </c>
      <c r="AC71" s="27"/>
      <c r="AE71" s="6"/>
    </row>
    <row r="72" spans="1:31" x14ac:dyDescent="0.3">
      <c r="B72" t="s">
        <v>168</v>
      </c>
      <c r="C72" s="4">
        <v>6704665</v>
      </c>
      <c r="D72" s="4">
        <v>5048</v>
      </c>
      <c r="E72" s="48">
        <v>7.5290860915500004E-4</v>
      </c>
      <c r="I72" s="4"/>
      <c r="K72" t="s">
        <v>169</v>
      </c>
      <c r="L72" s="5">
        <v>6658904.4983000001</v>
      </c>
      <c r="M72">
        <v>5013</v>
      </c>
      <c r="N72" s="4">
        <v>5099</v>
      </c>
      <c r="O72" s="48">
        <v>7.5282653494699995E-4</v>
      </c>
      <c r="S72" s="6"/>
      <c r="T72" t="str">
        <f t="shared" si="5"/>
        <v/>
      </c>
      <c r="U72" s="6" t="str">
        <f t="shared" si="6"/>
        <v>W08</v>
      </c>
      <c r="V72" s="27">
        <f t="shared" si="7"/>
        <v>6658904.4983000001</v>
      </c>
      <c r="W72" s="27"/>
      <c r="X72" s="30"/>
      <c r="Y72" s="30">
        <f t="shared" si="8"/>
        <v>7.5282653494699995E-4</v>
      </c>
      <c r="Z72" s="27"/>
      <c r="AB72" s="27">
        <f t="shared" si="9"/>
        <v>5099</v>
      </c>
      <c r="AC72" s="27"/>
      <c r="AE72" s="6"/>
    </row>
    <row r="73" spans="1:31" x14ac:dyDescent="0.3">
      <c r="B73" t="s">
        <v>170</v>
      </c>
      <c r="C73" s="4">
        <v>6885461</v>
      </c>
      <c r="D73" s="4">
        <v>3840</v>
      </c>
      <c r="E73" s="48">
        <v>5.5769686299899995E-4</v>
      </c>
      <c r="I73" s="4"/>
      <c r="K73" t="s">
        <v>171</v>
      </c>
      <c r="L73" s="5">
        <v>6358803.3459000001</v>
      </c>
      <c r="M73">
        <v>3546</v>
      </c>
      <c r="N73" s="4">
        <v>3498</v>
      </c>
      <c r="O73" s="48">
        <v>5.5765209381499999E-4</v>
      </c>
      <c r="S73" s="6"/>
      <c r="T73" t="str">
        <f t="shared" si="5"/>
        <v/>
      </c>
      <c r="U73" s="6" t="str">
        <f t="shared" si="6"/>
        <v>W09</v>
      </c>
      <c r="V73" s="27">
        <f t="shared" si="7"/>
        <v>6358803.3459000001</v>
      </c>
      <c r="W73" s="27"/>
      <c r="X73" s="30"/>
      <c r="Y73" s="30">
        <f t="shared" si="8"/>
        <v>5.5765209381499999E-4</v>
      </c>
      <c r="Z73" s="27"/>
      <c r="AB73" s="27">
        <f t="shared" si="9"/>
        <v>3498</v>
      </c>
      <c r="AC73" s="27"/>
      <c r="AE73" s="6"/>
    </row>
    <row r="74" spans="1:31" x14ac:dyDescent="0.3">
      <c r="B74" t="s">
        <v>172</v>
      </c>
      <c r="C74" s="4">
        <v>6915836</v>
      </c>
      <c r="D74" s="4">
        <v>6920</v>
      </c>
      <c r="E74" s="48">
        <v>1.0006020964059999E-3</v>
      </c>
      <c r="I74" s="4"/>
      <c r="K74" t="s">
        <v>173</v>
      </c>
      <c r="L74" s="5">
        <v>6356203.8704000004</v>
      </c>
      <c r="M74">
        <v>6360</v>
      </c>
      <c r="N74" s="4">
        <v>6252</v>
      </c>
      <c r="O74" s="48">
        <v>1.0005972321969999E-3</v>
      </c>
      <c r="S74" s="6"/>
      <c r="T74" t="str">
        <f t="shared" si="5"/>
        <v/>
      </c>
      <c r="U74" s="6" t="str">
        <f t="shared" si="6"/>
        <v>W10</v>
      </c>
      <c r="V74" s="27">
        <f t="shared" si="7"/>
        <v>6356203.8704000004</v>
      </c>
      <c r="W74" s="27"/>
      <c r="X74" s="30"/>
      <c r="Y74" s="30">
        <f t="shared" si="8"/>
        <v>1.0005972321969999E-3</v>
      </c>
      <c r="Z74" s="27"/>
      <c r="AB74" s="27">
        <f t="shared" si="9"/>
        <v>6252</v>
      </c>
      <c r="AC74" s="27"/>
      <c r="AE74" s="6"/>
    </row>
    <row r="75" spans="1:31" x14ac:dyDescent="0.3">
      <c r="B75" t="s">
        <v>174</v>
      </c>
      <c r="C75" s="4">
        <v>7135843</v>
      </c>
      <c r="D75" s="4">
        <v>6382</v>
      </c>
      <c r="E75" s="48">
        <v>8.9435824190600005E-4</v>
      </c>
      <c r="I75" s="4"/>
      <c r="K75" t="s">
        <v>175</v>
      </c>
      <c r="L75" s="5">
        <v>6761285.1571000004</v>
      </c>
      <c r="M75">
        <v>6047</v>
      </c>
      <c r="N75" s="4">
        <v>5934</v>
      </c>
      <c r="O75" s="48">
        <v>8.9435659930000005E-4</v>
      </c>
      <c r="S75" s="6"/>
      <c r="T75" t="str">
        <f t="shared" si="5"/>
        <v/>
      </c>
      <c r="U75" s="6" t="str">
        <f t="shared" si="6"/>
        <v>W11</v>
      </c>
      <c r="V75" s="27">
        <f t="shared" si="7"/>
        <v>6761285.1571000004</v>
      </c>
      <c r="W75" s="27"/>
      <c r="X75" s="30"/>
      <c r="Y75" s="30">
        <f t="shared" si="8"/>
        <v>8.9435659930000005E-4</v>
      </c>
      <c r="Z75" s="27"/>
      <c r="AB75" s="27">
        <f t="shared" si="9"/>
        <v>5934</v>
      </c>
      <c r="AC75" s="27"/>
      <c r="AE75" s="6"/>
    </row>
    <row r="76" spans="1:31" x14ac:dyDescent="0.3">
      <c r="B76" t="s">
        <v>176</v>
      </c>
      <c r="C76" s="4">
        <v>7607196</v>
      </c>
      <c r="D76" s="4">
        <v>7137</v>
      </c>
      <c r="E76" s="48">
        <v>9.3819062897799999E-4</v>
      </c>
      <c r="I76" s="4"/>
      <c r="K76" t="s">
        <v>177</v>
      </c>
      <c r="L76" s="5">
        <v>6851229.9442999996</v>
      </c>
      <c r="M76">
        <v>6428</v>
      </c>
      <c r="N76" s="4">
        <v>6300</v>
      </c>
      <c r="O76" s="48">
        <v>9.3822569848900003E-4</v>
      </c>
      <c r="S76" s="6"/>
      <c r="T76" t="str">
        <f t="shared" si="5"/>
        <v/>
      </c>
      <c r="U76" s="6" t="str">
        <f t="shared" si="6"/>
        <v>W12</v>
      </c>
      <c r="V76" s="27">
        <f t="shared" si="7"/>
        <v>6851229.9442999996</v>
      </c>
      <c r="W76" s="27"/>
      <c r="X76" s="30"/>
      <c r="Y76" s="30">
        <f t="shared" si="8"/>
        <v>9.3822569848900003E-4</v>
      </c>
      <c r="Z76" s="27"/>
      <c r="AB76" s="27">
        <f t="shared" si="9"/>
        <v>6300</v>
      </c>
      <c r="AC76" s="27"/>
      <c r="AE76" s="6"/>
    </row>
    <row r="77" spans="1:31" x14ac:dyDescent="0.3">
      <c r="B77" t="s">
        <v>178</v>
      </c>
      <c r="C77" s="4">
        <v>7277025</v>
      </c>
      <c r="D77" s="4">
        <v>4400</v>
      </c>
      <c r="E77" s="48">
        <v>6.0464269395799997E-4</v>
      </c>
      <c r="I77" s="4"/>
      <c r="K77" t="s">
        <v>179</v>
      </c>
      <c r="L77" s="5">
        <v>6302914.6476999996</v>
      </c>
      <c r="M77">
        <v>3811</v>
      </c>
      <c r="N77" s="4">
        <v>3738</v>
      </c>
      <c r="O77" s="48">
        <v>6.04640902347E-4</v>
      </c>
      <c r="S77" s="6"/>
      <c r="T77" t="str">
        <f t="shared" ref="T77:T108" si="10">IF(J77=0,"",J77)</f>
        <v/>
      </c>
      <c r="U77" s="6" t="str">
        <f t="shared" ref="U77:U108" si="11">RIGHT(K77,3)</f>
        <v>W13</v>
      </c>
      <c r="V77" s="27">
        <f t="shared" ref="V77:V101" si="12">L77</f>
        <v>6302914.6476999996</v>
      </c>
      <c r="W77" s="27"/>
      <c r="X77" s="30"/>
      <c r="Y77" s="30">
        <f t="shared" ref="Y77:Y99" si="13">O77</f>
        <v>6.04640902347E-4</v>
      </c>
      <c r="Z77" s="27"/>
      <c r="AB77" s="27">
        <f t="shared" ref="AB77:AB99" si="14">N77</f>
        <v>3738</v>
      </c>
      <c r="AC77" s="27"/>
      <c r="AE77" s="6"/>
    </row>
    <row r="78" spans="1:31" x14ac:dyDescent="0.3">
      <c r="B78" t="s">
        <v>180</v>
      </c>
      <c r="C78" s="4">
        <v>6745153</v>
      </c>
      <c r="D78" s="4">
        <v>4535</v>
      </c>
      <c r="E78" s="48">
        <v>6.7233463792399999E-4</v>
      </c>
      <c r="I78" s="4"/>
      <c r="K78" t="s">
        <v>181</v>
      </c>
      <c r="L78" s="5">
        <v>6820825.6977000004</v>
      </c>
      <c r="M78">
        <v>4586</v>
      </c>
      <c r="N78" s="4">
        <v>4492</v>
      </c>
      <c r="O78" s="48">
        <v>6.7235261583500005E-4</v>
      </c>
      <c r="S78" s="6"/>
      <c r="T78" t="str">
        <f t="shared" si="10"/>
        <v/>
      </c>
      <c r="U78" s="6" t="str">
        <f t="shared" si="11"/>
        <v>W14</v>
      </c>
      <c r="V78" s="27">
        <f t="shared" si="12"/>
        <v>6820825.6977000004</v>
      </c>
      <c r="W78" s="27"/>
      <c r="X78" s="30"/>
      <c r="Y78" s="30">
        <f t="shared" si="13"/>
        <v>6.7235261583500005E-4</v>
      </c>
      <c r="Z78" s="27"/>
      <c r="AB78" s="27">
        <f t="shared" si="14"/>
        <v>4492</v>
      </c>
      <c r="AC78" s="27"/>
      <c r="AE78" s="6"/>
    </row>
    <row r="79" spans="1:31" x14ac:dyDescent="0.3">
      <c r="B79" t="s">
        <v>182</v>
      </c>
      <c r="C79" s="4">
        <v>7374818</v>
      </c>
      <c r="D79" s="4">
        <v>6511</v>
      </c>
      <c r="E79" s="48">
        <v>8.8286924504399995E-4</v>
      </c>
      <c r="I79" s="4"/>
      <c r="K79" t="s">
        <v>183</v>
      </c>
      <c r="L79" s="5">
        <v>6144076.9949000003</v>
      </c>
      <c r="M79">
        <v>5424</v>
      </c>
      <c r="N79" s="4">
        <v>5222</v>
      </c>
      <c r="O79" s="48">
        <v>8.8280143697800002E-4</v>
      </c>
      <c r="S79" s="6"/>
      <c r="T79" t="str">
        <f t="shared" si="10"/>
        <v/>
      </c>
      <c r="U79" s="6" t="str">
        <f t="shared" si="11"/>
        <v>W15</v>
      </c>
      <c r="V79" s="27">
        <f t="shared" si="12"/>
        <v>6144076.9949000003</v>
      </c>
      <c r="W79" s="27"/>
      <c r="X79" s="30"/>
      <c r="Y79" s="30">
        <f t="shared" si="13"/>
        <v>8.8280143697800002E-4</v>
      </c>
      <c r="Z79" s="27"/>
      <c r="AB79" s="27">
        <f t="shared" si="14"/>
        <v>5222</v>
      </c>
      <c r="AC79" s="27"/>
      <c r="AE79" s="6"/>
    </row>
    <row r="80" spans="1:31" x14ac:dyDescent="0.3">
      <c r="B80" t="s">
        <v>184</v>
      </c>
      <c r="C80" s="4">
        <v>7119104</v>
      </c>
      <c r="D80" s="4">
        <v>3470</v>
      </c>
      <c r="E80" s="48">
        <v>4.8742088892099998E-4</v>
      </c>
      <c r="I80" s="4"/>
      <c r="K80" t="s">
        <v>185</v>
      </c>
      <c r="L80" s="5">
        <v>6907135.9979999997</v>
      </c>
      <c r="M80">
        <v>3366</v>
      </c>
      <c r="N80" s="4">
        <v>3426</v>
      </c>
      <c r="O80" s="48">
        <v>4.8732209717199999E-4</v>
      </c>
      <c r="S80" s="6"/>
      <c r="T80" t="str">
        <f t="shared" si="10"/>
        <v/>
      </c>
      <c r="U80" s="6" t="str">
        <f t="shared" si="11"/>
        <v>W16</v>
      </c>
      <c r="V80" s="27">
        <f t="shared" si="12"/>
        <v>6907135.9979999997</v>
      </c>
      <c r="W80" s="27"/>
      <c r="X80" s="30"/>
      <c r="Y80" s="30">
        <f t="shared" si="13"/>
        <v>4.8732209717199999E-4</v>
      </c>
      <c r="Z80" s="27"/>
      <c r="AB80" s="27">
        <f t="shared" si="14"/>
        <v>3426</v>
      </c>
      <c r="AC80" s="27"/>
      <c r="AE80" s="6"/>
    </row>
    <row r="81" spans="2:31" x14ac:dyDescent="0.3">
      <c r="B81" t="s">
        <v>186</v>
      </c>
      <c r="C81" s="4">
        <v>7297577</v>
      </c>
      <c r="D81" s="4">
        <v>7084</v>
      </c>
      <c r="E81" s="48">
        <v>9.7073316252799995E-4</v>
      </c>
      <c r="I81" s="4"/>
      <c r="K81" t="s">
        <v>187</v>
      </c>
      <c r="L81" s="5">
        <v>6943668.8011999996</v>
      </c>
      <c r="M81">
        <v>6740</v>
      </c>
      <c r="N81" s="4">
        <v>7011</v>
      </c>
      <c r="O81" s="48">
        <v>9.7066841650599999E-4</v>
      </c>
      <c r="S81" s="6"/>
      <c r="T81" t="str">
        <f t="shared" si="10"/>
        <v/>
      </c>
      <c r="U81" s="6" t="str">
        <f t="shared" si="11"/>
        <v>W17</v>
      </c>
      <c r="V81" s="27">
        <f t="shared" si="12"/>
        <v>6943668.8011999996</v>
      </c>
      <c r="W81" s="27"/>
      <c r="X81" s="30"/>
      <c r="Y81" s="30">
        <f t="shared" si="13"/>
        <v>9.7066841650599999E-4</v>
      </c>
      <c r="Z81" s="27"/>
      <c r="AB81" s="27">
        <f t="shared" si="14"/>
        <v>7011</v>
      </c>
      <c r="AC81" s="27"/>
      <c r="AE81" s="6"/>
    </row>
    <row r="82" spans="2:31" x14ac:dyDescent="0.3">
      <c r="B82" t="s">
        <v>188</v>
      </c>
      <c r="C82" s="4">
        <v>6787364</v>
      </c>
      <c r="D82" s="4">
        <v>4785</v>
      </c>
      <c r="E82" s="48">
        <v>7.0498650138699995E-4</v>
      </c>
      <c r="I82" s="4"/>
      <c r="K82" t="s">
        <v>189</v>
      </c>
      <c r="L82" s="5">
        <v>6525231.79</v>
      </c>
      <c r="M82">
        <v>4601</v>
      </c>
      <c r="N82" s="4">
        <v>4623</v>
      </c>
      <c r="O82" s="48">
        <v>7.05109051766E-4</v>
      </c>
      <c r="S82" s="6"/>
      <c r="T82" t="str">
        <f t="shared" si="10"/>
        <v/>
      </c>
      <c r="U82" s="6" t="str">
        <f t="shared" si="11"/>
        <v>W18</v>
      </c>
      <c r="V82" s="27">
        <f t="shared" si="12"/>
        <v>6525231.79</v>
      </c>
      <c r="W82" s="27"/>
      <c r="X82" s="30"/>
      <c r="Y82" s="30">
        <f t="shared" si="13"/>
        <v>7.05109051766E-4</v>
      </c>
      <c r="Z82" s="27"/>
      <c r="AB82" s="27">
        <f t="shared" si="14"/>
        <v>4623</v>
      </c>
      <c r="AC82" s="27"/>
      <c r="AE82" s="6"/>
    </row>
    <row r="83" spans="2:31" x14ac:dyDescent="0.3">
      <c r="B83" t="s">
        <v>190</v>
      </c>
      <c r="C83" s="4">
        <v>6340374</v>
      </c>
      <c r="D83" s="4">
        <v>4538</v>
      </c>
      <c r="E83" s="48">
        <v>7.1573064932800004E-4</v>
      </c>
      <c r="I83" s="4"/>
      <c r="K83" t="s">
        <v>191</v>
      </c>
      <c r="L83" s="5">
        <v>6757885.2702000001</v>
      </c>
      <c r="M83">
        <v>4837</v>
      </c>
      <c r="N83" s="4">
        <v>4595</v>
      </c>
      <c r="O83" s="48">
        <v>7.1575645436399999E-4</v>
      </c>
      <c r="S83" s="6"/>
      <c r="T83" t="str">
        <f t="shared" si="10"/>
        <v/>
      </c>
      <c r="U83" s="6" t="str">
        <f t="shared" si="11"/>
        <v>W19</v>
      </c>
      <c r="V83" s="27">
        <f t="shared" si="12"/>
        <v>6757885.2702000001</v>
      </c>
      <c r="W83" s="27"/>
      <c r="X83" s="30"/>
      <c r="Y83" s="30">
        <f t="shared" si="13"/>
        <v>7.1575645436399999E-4</v>
      </c>
      <c r="Z83" s="27"/>
      <c r="AB83" s="27">
        <f t="shared" si="14"/>
        <v>4595</v>
      </c>
      <c r="AC83" s="27"/>
      <c r="AE83" s="6"/>
    </row>
    <row r="84" spans="2:31" x14ac:dyDescent="0.3">
      <c r="B84" t="s">
        <v>192</v>
      </c>
      <c r="C84" s="4">
        <v>6690811</v>
      </c>
      <c r="D84" s="4">
        <v>5108</v>
      </c>
      <c r="E84" s="48">
        <v>7.63435105251E-4</v>
      </c>
      <c r="I84" s="4"/>
      <c r="K84" t="s">
        <v>193</v>
      </c>
      <c r="L84" s="5">
        <v>7363174.4331</v>
      </c>
      <c r="M84">
        <v>5621</v>
      </c>
      <c r="N84" s="4">
        <v>5666</v>
      </c>
      <c r="O84" s="48">
        <v>7.6339356768899999E-4</v>
      </c>
      <c r="S84" s="6"/>
      <c r="T84" t="str">
        <f t="shared" si="10"/>
        <v/>
      </c>
      <c r="U84" s="6" t="str">
        <f t="shared" si="11"/>
        <v>W20</v>
      </c>
      <c r="V84" s="27">
        <f t="shared" si="12"/>
        <v>7363174.4331</v>
      </c>
      <c r="W84" s="27"/>
      <c r="X84" s="30"/>
      <c r="Y84" s="30">
        <f t="shared" si="13"/>
        <v>7.6339356768899999E-4</v>
      </c>
      <c r="Z84" s="27"/>
      <c r="AB84" s="27">
        <f t="shared" si="14"/>
        <v>5666</v>
      </c>
      <c r="AC84" s="27"/>
      <c r="AE84" s="6"/>
    </row>
    <row r="85" spans="2:31" x14ac:dyDescent="0.3">
      <c r="B85" t="s">
        <v>194</v>
      </c>
      <c r="C85" s="4">
        <v>6537993</v>
      </c>
      <c r="D85" s="4">
        <v>6242</v>
      </c>
      <c r="E85" s="48">
        <v>9.5472723816000002E-4</v>
      </c>
      <c r="I85" s="4"/>
      <c r="K85" t="s">
        <v>195</v>
      </c>
      <c r="L85" s="5">
        <v>6786300.6842999998</v>
      </c>
      <c r="M85">
        <v>6479</v>
      </c>
      <c r="N85" s="4">
        <v>6579</v>
      </c>
      <c r="O85" s="48">
        <v>9.5471749652800003E-4</v>
      </c>
      <c r="S85" s="6"/>
      <c r="T85" t="str">
        <f t="shared" si="10"/>
        <v/>
      </c>
      <c r="U85" s="6" t="str">
        <f t="shared" si="11"/>
        <v>W21</v>
      </c>
      <c r="V85" s="27">
        <f t="shared" si="12"/>
        <v>6786300.6842999998</v>
      </c>
      <c r="W85" s="27"/>
      <c r="X85" s="30"/>
      <c r="Y85" s="30">
        <f t="shared" si="13"/>
        <v>9.5471749652800003E-4</v>
      </c>
      <c r="Z85" s="27"/>
      <c r="AB85" s="27">
        <f t="shared" si="14"/>
        <v>6579</v>
      </c>
      <c r="AC85" s="27"/>
      <c r="AE85" s="6"/>
    </row>
    <row r="86" spans="2:31" x14ac:dyDescent="0.3">
      <c r="B86" t="s">
        <v>196</v>
      </c>
      <c r="C86" s="4">
        <v>6204216</v>
      </c>
      <c r="D86" s="4">
        <v>3982</v>
      </c>
      <c r="E86" s="48">
        <v>6.4182162581100002E-4</v>
      </c>
      <c r="I86" s="4"/>
      <c r="K86" t="s">
        <v>197</v>
      </c>
      <c r="L86" s="5">
        <v>6536917.3587999996</v>
      </c>
      <c r="M86">
        <v>4196</v>
      </c>
      <c r="N86" s="4">
        <v>4076</v>
      </c>
      <c r="O86" s="48">
        <v>6.4189277142300005E-4</v>
      </c>
      <c r="S86" s="6"/>
      <c r="T86" t="str">
        <f t="shared" si="10"/>
        <v/>
      </c>
      <c r="U86" s="6" t="str">
        <f t="shared" si="11"/>
        <v>W22</v>
      </c>
      <c r="V86" s="27">
        <f t="shared" si="12"/>
        <v>6536917.3587999996</v>
      </c>
      <c r="W86" s="27"/>
      <c r="X86" s="30"/>
      <c r="Y86" s="30">
        <f t="shared" si="13"/>
        <v>6.4189277142300005E-4</v>
      </c>
      <c r="Z86" s="27"/>
      <c r="AB86" s="27">
        <f t="shared" si="14"/>
        <v>4076</v>
      </c>
      <c r="AC86" s="27"/>
      <c r="AE86" s="6"/>
    </row>
    <row r="87" spans="2:31" x14ac:dyDescent="0.3">
      <c r="B87" t="s">
        <v>198</v>
      </c>
      <c r="C87" s="4">
        <v>6804031</v>
      </c>
      <c r="D87" s="4">
        <v>5684</v>
      </c>
      <c r="E87" s="48">
        <v>8.3538714035800001E-4</v>
      </c>
      <c r="I87" s="4"/>
      <c r="K87" t="s">
        <v>199</v>
      </c>
      <c r="L87" s="5">
        <v>6915309.1486999998</v>
      </c>
      <c r="M87">
        <v>5777</v>
      </c>
      <c r="N87" s="4">
        <v>5762</v>
      </c>
      <c r="O87" s="48">
        <v>8.3539287626599999E-4</v>
      </c>
      <c r="S87" s="6"/>
      <c r="T87" t="str">
        <f t="shared" si="10"/>
        <v/>
      </c>
      <c r="U87" s="6" t="str">
        <f t="shared" si="11"/>
        <v>W23</v>
      </c>
      <c r="V87" s="27">
        <f t="shared" si="12"/>
        <v>6915309.1486999998</v>
      </c>
      <c r="W87" s="27"/>
      <c r="X87" s="30"/>
      <c r="Y87" s="30">
        <f t="shared" si="13"/>
        <v>8.3539287626599999E-4</v>
      </c>
      <c r="Z87" s="27"/>
      <c r="AB87" s="27">
        <f t="shared" si="14"/>
        <v>5762</v>
      </c>
      <c r="AC87" s="27"/>
      <c r="AE87" s="6"/>
    </row>
    <row r="88" spans="2:31" x14ac:dyDescent="0.3">
      <c r="B88" t="s">
        <v>200</v>
      </c>
      <c r="C88" s="4">
        <v>7195730</v>
      </c>
      <c r="D88" s="4">
        <v>7322</v>
      </c>
      <c r="E88" s="48">
        <v>1.0175479068839999E-3</v>
      </c>
      <c r="I88" s="4"/>
      <c r="K88" t="s">
        <v>201</v>
      </c>
      <c r="L88" s="5">
        <v>6625830.7315999996</v>
      </c>
      <c r="M88">
        <v>6742</v>
      </c>
      <c r="N88" s="4">
        <v>6519</v>
      </c>
      <c r="O88" s="48">
        <v>1.0175327854130001E-3</v>
      </c>
      <c r="S88" s="6"/>
      <c r="T88" t="str">
        <f t="shared" si="10"/>
        <v/>
      </c>
      <c r="U88" s="6" t="str">
        <f t="shared" si="11"/>
        <v>W24</v>
      </c>
      <c r="V88" s="27">
        <f t="shared" si="12"/>
        <v>6625830.7315999996</v>
      </c>
      <c r="W88" s="27"/>
      <c r="X88" s="30"/>
      <c r="Y88" s="30">
        <f t="shared" si="13"/>
        <v>1.0175327854130001E-3</v>
      </c>
      <c r="Z88" s="27"/>
      <c r="AB88" s="27">
        <f t="shared" si="14"/>
        <v>6519</v>
      </c>
      <c r="AC88" s="27"/>
      <c r="AE88" s="6"/>
    </row>
    <row r="89" spans="2:31" x14ac:dyDescent="0.3">
      <c r="B89" t="s">
        <v>202</v>
      </c>
      <c r="C89" s="4">
        <v>6329266</v>
      </c>
      <c r="D89" s="4">
        <v>4079</v>
      </c>
      <c r="E89" s="48">
        <v>6.4446651475899997E-4</v>
      </c>
      <c r="I89" s="4"/>
      <c r="K89" t="s">
        <v>203</v>
      </c>
      <c r="L89" s="5">
        <v>6793595.9133000001</v>
      </c>
      <c r="M89">
        <v>4378</v>
      </c>
      <c r="N89" s="4">
        <v>4196</v>
      </c>
      <c r="O89" s="48">
        <v>6.44430439472E-4</v>
      </c>
      <c r="S89" s="6"/>
      <c r="T89" t="str">
        <f t="shared" si="10"/>
        <v/>
      </c>
      <c r="U89" s="6" t="str">
        <f t="shared" si="11"/>
        <v>W25</v>
      </c>
      <c r="V89" s="27">
        <f t="shared" si="12"/>
        <v>6793595.9133000001</v>
      </c>
      <c r="W89" s="27"/>
      <c r="X89" s="30"/>
      <c r="Y89" s="30">
        <f t="shared" si="13"/>
        <v>6.44430439472E-4</v>
      </c>
      <c r="Z89" s="27"/>
      <c r="AB89" s="27">
        <f t="shared" si="14"/>
        <v>4196</v>
      </c>
      <c r="AC89" s="27"/>
      <c r="AE89" s="6"/>
    </row>
    <row r="90" spans="2:31" x14ac:dyDescent="0.3">
      <c r="B90" t="s">
        <v>204</v>
      </c>
      <c r="C90" s="4">
        <v>6858136</v>
      </c>
      <c r="D90" s="4">
        <v>4037</v>
      </c>
      <c r="E90" s="48">
        <v>5.8864391140700002E-4</v>
      </c>
      <c r="I90" s="4"/>
      <c r="K90" t="s">
        <v>205</v>
      </c>
      <c r="L90" s="5">
        <v>6792847.4523</v>
      </c>
      <c r="M90">
        <v>3998</v>
      </c>
      <c r="N90" s="4">
        <v>3932</v>
      </c>
      <c r="O90" s="48">
        <v>5.8856025077499996E-4</v>
      </c>
      <c r="S90" s="6"/>
      <c r="T90" t="str">
        <f t="shared" si="10"/>
        <v/>
      </c>
      <c r="U90" s="6" t="str">
        <f t="shared" si="11"/>
        <v>W26</v>
      </c>
      <c r="V90" s="27">
        <f t="shared" si="12"/>
        <v>6792847.4523</v>
      </c>
      <c r="W90" s="27"/>
      <c r="X90" s="30"/>
      <c r="Y90" s="30">
        <f t="shared" si="13"/>
        <v>5.8856025077499996E-4</v>
      </c>
      <c r="Z90" s="27"/>
      <c r="AB90" s="27">
        <f t="shared" si="14"/>
        <v>3932</v>
      </c>
      <c r="AC90" s="27"/>
      <c r="AE90" s="6"/>
    </row>
    <row r="91" spans="2:31" x14ac:dyDescent="0.3">
      <c r="B91" t="s">
        <v>206</v>
      </c>
      <c r="C91" s="4">
        <v>6423312</v>
      </c>
      <c r="D91" s="4">
        <v>5006</v>
      </c>
      <c r="E91" s="48">
        <v>7.7934872227899998E-4</v>
      </c>
      <c r="I91" s="4"/>
      <c r="K91" t="s">
        <v>207</v>
      </c>
      <c r="L91" s="5">
        <v>6977432.0122999996</v>
      </c>
      <c r="M91">
        <v>5438</v>
      </c>
      <c r="N91" s="4">
        <v>5611</v>
      </c>
      <c r="O91" s="48">
        <v>7.79369829819E-4</v>
      </c>
      <c r="S91" s="6"/>
      <c r="T91" t="str">
        <f t="shared" si="10"/>
        <v/>
      </c>
      <c r="U91" s="6" t="str">
        <f t="shared" si="11"/>
        <v>W27</v>
      </c>
      <c r="V91" s="27">
        <f t="shared" si="12"/>
        <v>6977432.0122999996</v>
      </c>
      <c r="W91" s="27"/>
      <c r="X91" s="30"/>
      <c r="Y91" s="30">
        <f t="shared" si="13"/>
        <v>7.79369829819E-4</v>
      </c>
      <c r="Z91" s="27"/>
      <c r="AB91" s="27">
        <f t="shared" si="14"/>
        <v>5611</v>
      </c>
      <c r="AC91" s="27"/>
      <c r="AE91" s="6"/>
    </row>
    <row r="92" spans="2:31" x14ac:dyDescent="0.3">
      <c r="B92" t="s">
        <v>208</v>
      </c>
      <c r="C92" s="4">
        <v>6678159</v>
      </c>
      <c r="D92" s="4">
        <v>5353</v>
      </c>
      <c r="E92" s="48">
        <v>8.0156821662999997E-4</v>
      </c>
      <c r="I92" s="4"/>
      <c r="K92" t="s">
        <v>209</v>
      </c>
      <c r="L92" s="5">
        <v>6827387.9713000003</v>
      </c>
      <c r="M92">
        <v>5473</v>
      </c>
      <c r="N92" s="4">
        <v>5322</v>
      </c>
      <c r="O92" s="48">
        <v>8.0162428486700002E-4</v>
      </c>
      <c r="S92" s="6"/>
      <c r="T92" t="str">
        <f t="shared" si="10"/>
        <v/>
      </c>
      <c r="U92" s="6" t="str">
        <f t="shared" si="11"/>
        <v>W28</v>
      </c>
      <c r="V92" s="27">
        <f t="shared" si="12"/>
        <v>6827387.9713000003</v>
      </c>
      <c r="W92" s="27"/>
      <c r="X92" s="30"/>
      <c r="Y92" s="30">
        <f t="shared" si="13"/>
        <v>8.0162428486700002E-4</v>
      </c>
      <c r="Z92" s="27"/>
      <c r="AB92" s="27">
        <f t="shared" si="14"/>
        <v>5322</v>
      </c>
      <c r="AC92" s="27"/>
      <c r="AE92" s="6"/>
    </row>
    <row r="93" spans="2:31" x14ac:dyDescent="0.3">
      <c r="B93" t="s">
        <v>210</v>
      </c>
      <c r="C93" s="4">
        <v>7067698</v>
      </c>
      <c r="D93" s="4">
        <v>4070</v>
      </c>
      <c r="E93" s="48">
        <v>5.7585935335699998E-4</v>
      </c>
      <c r="I93" s="4"/>
      <c r="K93" t="s">
        <v>211</v>
      </c>
      <c r="L93" s="5">
        <v>6793519.9696000004</v>
      </c>
      <c r="M93">
        <v>3912</v>
      </c>
      <c r="N93" s="4">
        <v>3794</v>
      </c>
      <c r="O93" s="48">
        <v>5.7584286459799999E-4</v>
      </c>
      <c r="S93" s="6"/>
      <c r="T93" t="str">
        <f t="shared" si="10"/>
        <v/>
      </c>
      <c r="U93" s="6" t="str">
        <f t="shared" si="11"/>
        <v>W29</v>
      </c>
      <c r="V93" s="27">
        <f t="shared" si="12"/>
        <v>6793519.9696000004</v>
      </c>
      <c r="W93" s="27"/>
      <c r="X93" s="30"/>
      <c r="Y93" s="30">
        <f t="shared" si="13"/>
        <v>5.7584286459799999E-4</v>
      </c>
      <c r="Z93" s="27"/>
      <c r="AB93" s="27">
        <f t="shared" si="14"/>
        <v>3794</v>
      </c>
      <c r="AC93" s="27"/>
      <c r="AE93" s="6"/>
    </row>
    <row r="94" spans="2:31" x14ac:dyDescent="0.3">
      <c r="B94" t="s">
        <v>212</v>
      </c>
      <c r="C94" s="4">
        <v>6731819</v>
      </c>
      <c r="D94" s="4">
        <v>6133</v>
      </c>
      <c r="E94" s="48">
        <v>9.1104647941400003E-4</v>
      </c>
      <c r="I94" s="4"/>
      <c r="K94" t="s">
        <v>213</v>
      </c>
      <c r="L94" s="5">
        <v>7296644.5031000003</v>
      </c>
      <c r="M94">
        <v>6648</v>
      </c>
      <c r="N94" s="4">
        <v>6631</v>
      </c>
      <c r="O94" s="48">
        <v>9.1110372681200004E-4</v>
      </c>
      <c r="S94" s="6"/>
      <c r="T94" t="str">
        <f t="shared" si="10"/>
        <v/>
      </c>
      <c r="U94" s="6" t="str">
        <f t="shared" si="11"/>
        <v>W30</v>
      </c>
      <c r="V94" s="27">
        <f t="shared" si="12"/>
        <v>7296644.5031000003</v>
      </c>
      <c r="W94" s="27"/>
      <c r="X94" s="30"/>
      <c r="Y94" s="30">
        <f t="shared" si="13"/>
        <v>9.1110372681200004E-4</v>
      </c>
      <c r="Z94" s="27"/>
      <c r="AB94" s="27">
        <f t="shared" si="14"/>
        <v>6631</v>
      </c>
      <c r="AC94" s="27"/>
      <c r="AE94" s="6"/>
    </row>
    <row r="95" spans="2:31" x14ac:dyDescent="0.3">
      <c r="B95" t="s">
        <v>214</v>
      </c>
      <c r="C95" s="4">
        <v>6708494</v>
      </c>
      <c r="D95" s="4">
        <v>5482</v>
      </c>
      <c r="E95" s="48">
        <v>8.1717297503700005E-4</v>
      </c>
      <c r="I95" s="4"/>
      <c r="K95" t="s">
        <v>215</v>
      </c>
      <c r="L95" s="5">
        <v>6483012.9869999997</v>
      </c>
      <c r="M95">
        <v>5298</v>
      </c>
      <c r="N95" s="4">
        <v>5483</v>
      </c>
      <c r="O95" s="48">
        <v>8.1721261558799995E-4</v>
      </c>
      <c r="S95" s="6"/>
      <c r="T95" t="str">
        <f t="shared" si="10"/>
        <v/>
      </c>
      <c r="U95" s="6" t="str">
        <f t="shared" si="11"/>
        <v>W31</v>
      </c>
      <c r="V95" s="27">
        <f t="shared" si="12"/>
        <v>6483012.9869999997</v>
      </c>
      <c r="W95" s="27"/>
      <c r="X95" s="30"/>
      <c r="Y95" s="30">
        <f t="shared" si="13"/>
        <v>8.1721261558799995E-4</v>
      </c>
      <c r="Z95" s="27"/>
      <c r="AB95" s="27">
        <f t="shared" si="14"/>
        <v>5483</v>
      </c>
      <c r="AC95" s="27"/>
      <c r="AE95" s="6"/>
    </row>
    <row r="96" spans="2:31" x14ac:dyDescent="0.3">
      <c r="B96" t="s">
        <v>216</v>
      </c>
      <c r="C96" s="4">
        <v>6652971</v>
      </c>
      <c r="D96" s="4">
        <v>6249</v>
      </c>
      <c r="E96" s="48">
        <v>9.3927960906500004E-4</v>
      </c>
      <c r="I96" s="4"/>
      <c r="K96" t="s">
        <v>217</v>
      </c>
      <c r="L96" s="5">
        <v>7056398.8427999998</v>
      </c>
      <c r="M96">
        <v>6628</v>
      </c>
      <c r="N96" s="4">
        <v>6714</v>
      </c>
      <c r="O96" s="48">
        <v>9.3928930997999995E-4</v>
      </c>
      <c r="S96" s="6"/>
      <c r="T96" t="str">
        <f t="shared" si="10"/>
        <v/>
      </c>
      <c r="U96" s="6" t="str">
        <f t="shared" si="11"/>
        <v>W32</v>
      </c>
      <c r="V96" s="27">
        <f t="shared" si="12"/>
        <v>7056398.8427999998</v>
      </c>
      <c r="W96" s="27"/>
      <c r="X96" s="30"/>
      <c r="Y96" s="30">
        <f t="shared" si="13"/>
        <v>9.3928930997999995E-4</v>
      </c>
      <c r="Z96" s="27"/>
      <c r="AB96" s="27">
        <f t="shared" si="14"/>
        <v>6714</v>
      </c>
      <c r="AC96" s="27"/>
      <c r="AE96" s="6"/>
    </row>
    <row r="97" spans="2:31" x14ac:dyDescent="0.3">
      <c r="B97" t="s">
        <v>218</v>
      </c>
      <c r="C97" s="4">
        <v>6650088</v>
      </c>
      <c r="D97" s="4">
        <v>5776</v>
      </c>
      <c r="E97" s="48">
        <v>8.6855993484599996E-4</v>
      </c>
      <c r="I97" s="4"/>
      <c r="K97" t="s">
        <v>219</v>
      </c>
      <c r="L97" s="5">
        <v>6734768.5691</v>
      </c>
      <c r="M97">
        <v>5850</v>
      </c>
      <c r="N97" s="4">
        <v>5671</v>
      </c>
      <c r="O97" s="48">
        <v>8.68626730077E-4</v>
      </c>
      <c r="S97" s="6"/>
      <c r="T97" t="str">
        <f t="shared" si="10"/>
        <v/>
      </c>
      <c r="U97" s="6" t="str">
        <f t="shared" si="11"/>
        <v>W33</v>
      </c>
      <c r="V97" s="27">
        <f t="shared" si="12"/>
        <v>6734768.5691</v>
      </c>
      <c r="W97" s="27"/>
      <c r="X97" s="30"/>
      <c r="Y97" s="30">
        <f t="shared" si="13"/>
        <v>8.68626730077E-4</v>
      </c>
      <c r="Z97" s="27"/>
      <c r="AB97" s="27">
        <f t="shared" si="14"/>
        <v>5671</v>
      </c>
      <c r="AC97" s="27"/>
      <c r="AE97" s="6"/>
    </row>
    <row r="98" spans="2:31" x14ac:dyDescent="0.3">
      <c r="B98" t="s">
        <v>220</v>
      </c>
      <c r="C98" s="4">
        <v>7001233</v>
      </c>
      <c r="D98" s="4">
        <v>5195</v>
      </c>
      <c r="E98" s="48">
        <v>7.4201215700099999E-4</v>
      </c>
      <c r="I98" s="4"/>
      <c r="K98" t="s">
        <v>221</v>
      </c>
      <c r="L98" s="5">
        <v>6392391.3547999999</v>
      </c>
      <c r="M98">
        <v>4744</v>
      </c>
      <c r="N98" s="4">
        <v>4623</v>
      </c>
      <c r="O98" s="48">
        <v>7.4213228456900004E-4</v>
      </c>
      <c r="S98" s="46"/>
      <c r="T98" t="str">
        <f t="shared" si="10"/>
        <v/>
      </c>
      <c r="U98" s="6" t="str">
        <f t="shared" si="11"/>
        <v>W34</v>
      </c>
      <c r="V98" s="27">
        <f t="shared" si="12"/>
        <v>6392391.3547999999</v>
      </c>
      <c r="W98" s="27"/>
      <c r="X98" s="30"/>
      <c r="Y98" s="30">
        <f t="shared" si="13"/>
        <v>7.4213228456900004E-4</v>
      </c>
      <c r="Z98" s="27"/>
      <c r="AB98" s="27">
        <f t="shared" si="14"/>
        <v>4623</v>
      </c>
      <c r="AC98" s="27"/>
      <c r="AE98" s="6"/>
    </row>
    <row r="99" spans="2:31" x14ac:dyDescent="0.3">
      <c r="B99" t="s">
        <v>222</v>
      </c>
      <c r="C99" s="4">
        <v>6026768</v>
      </c>
      <c r="D99" s="4">
        <v>3825</v>
      </c>
      <c r="E99" s="48">
        <v>6.3466853212200002E-4</v>
      </c>
      <c r="I99" s="4"/>
      <c r="K99" t="s">
        <v>223</v>
      </c>
      <c r="L99" s="5">
        <v>6670520.3738000002</v>
      </c>
      <c r="M99">
        <v>4234</v>
      </c>
      <c r="N99" s="4">
        <v>4300</v>
      </c>
      <c r="O99" s="48">
        <v>6.3473308868500005E-4</v>
      </c>
      <c r="S99" s="46"/>
      <c r="T99" t="str">
        <f t="shared" si="10"/>
        <v/>
      </c>
      <c r="U99" s="6" t="str">
        <f t="shared" si="11"/>
        <v>W35</v>
      </c>
      <c r="V99" s="27">
        <f t="shared" si="12"/>
        <v>6670520.3738000002</v>
      </c>
      <c r="W99" s="27"/>
      <c r="X99" s="30"/>
      <c r="Y99" s="30">
        <f t="shared" si="13"/>
        <v>6.3473308868500005E-4</v>
      </c>
      <c r="Z99" s="27"/>
      <c r="AB99" s="27">
        <f t="shared" si="14"/>
        <v>4300</v>
      </c>
      <c r="AC99" s="27"/>
      <c r="AE99" s="6"/>
    </row>
    <row r="100" spans="2:31" x14ac:dyDescent="0.3">
      <c r="B100" t="s">
        <v>224</v>
      </c>
      <c r="C100" s="4">
        <v>6649917</v>
      </c>
      <c r="D100" s="4">
        <v>6982</v>
      </c>
      <c r="E100" s="48">
        <v>1.0499379165180001E-3</v>
      </c>
      <c r="I100" s="4"/>
      <c r="K100" t="s">
        <v>225</v>
      </c>
      <c r="L100" s="5">
        <v>6381148.5443000002</v>
      </c>
      <c r="M100">
        <v>6700</v>
      </c>
      <c r="N100" s="4">
        <v>6881</v>
      </c>
      <c r="O100" s="48">
        <v>1.049967721874E-3</v>
      </c>
      <c r="S100" s="6"/>
      <c r="T100" t="str">
        <f t="shared" si="10"/>
        <v/>
      </c>
      <c r="U100" s="6" t="str">
        <f t="shared" si="11"/>
        <v>W36</v>
      </c>
      <c r="V100" s="27">
        <f t="shared" si="12"/>
        <v>6381148.5443000002</v>
      </c>
      <c r="W100" s="27"/>
      <c r="X100" s="30"/>
      <c r="Y100" s="30">
        <f>E100</f>
        <v>1.0499379165180001E-3</v>
      </c>
      <c r="Z100" s="45">
        <f>E100</f>
        <v>1.0499379165180001E-3</v>
      </c>
      <c r="AB100" s="27">
        <f>D100</f>
        <v>6982</v>
      </c>
      <c r="AC100" s="27">
        <f t="shared" ref="AC100:AC109" si="15">D100</f>
        <v>6982</v>
      </c>
      <c r="AE100" s="6"/>
    </row>
    <row r="101" spans="2:31" x14ac:dyDescent="0.3">
      <c r="B101" t="s">
        <v>226</v>
      </c>
      <c r="C101" s="4">
        <v>6852325</v>
      </c>
      <c r="D101" s="4">
        <v>5542</v>
      </c>
      <c r="E101" s="48">
        <v>8.0877658313099996E-4</v>
      </c>
      <c r="I101" s="4"/>
      <c r="K101" t="s">
        <v>227</v>
      </c>
      <c r="L101" s="5">
        <v>6780693.3750999998</v>
      </c>
      <c r="M101">
        <v>5484</v>
      </c>
      <c r="N101" s="4">
        <v>5268</v>
      </c>
      <c r="O101" s="48">
        <v>8.0876684678599998E-4</v>
      </c>
      <c r="S101" s="6"/>
      <c r="T101" t="str">
        <f t="shared" si="10"/>
        <v/>
      </c>
      <c r="U101" s="6" t="str">
        <f t="shared" si="11"/>
        <v>W37</v>
      </c>
      <c r="V101" s="27">
        <f t="shared" si="12"/>
        <v>6780693.3750999998</v>
      </c>
      <c r="W101" s="27"/>
      <c r="X101" s="30"/>
      <c r="Y101" s="30">
        <f>E101</f>
        <v>8.0877658313099996E-4</v>
      </c>
      <c r="Z101" s="45">
        <f>E101</f>
        <v>8.0877658313099996E-4</v>
      </c>
      <c r="AB101" s="27">
        <f>D101</f>
        <v>5542</v>
      </c>
      <c r="AC101" s="27">
        <f t="shared" si="15"/>
        <v>5542</v>
      </c>
      <c r="AE101" s="6"/>
    </row>
    <row r="102" spans="2:31" x14ac:dyDescent="0.3">
      <c r="B102" t="s">
        <v>228</v>
      </c>
      <c r="C102" s="4">
        <v>6233044</v>
      </c>
      <c r="D102" s="4">
        <v>4468</v>
      </c>
      <c r="E102" s="48">
        <v>7.1682471678400001E-4</v>
      </c>
      <c r="I102" s="4"/>
      <c r="K102" t="s">
        <v>229</v>
      </c>
      <c r="L102" s="5">
        <v>6748034.7725</v>
      </c>
      <c r="M102">
        <v>4837</v>
      </c>
      <c r="N102" s="4">
        <v>5059</v>
      </c>
      <c r="O102" s="48">
        <v>7.1680128557000003E-4</v>
      </c>
      <c r="S102" s="6"/>
      <c r="T102" t="str">
        <f t="shared" si="10"/>
        <v/>
      </c>
      <c r="U102" s="6" t="str">
        <f t="shared" si="11"/>
        <v>W38</v>
      </c>
      <c r="V102" s="27"/>
      <c r="W102" s="27">
        <f t="shared" ref="W102:W133" si="16">L102</f>
        <v>6748034.7725</v>
      </c>
      <c r="X102" s="30"/>
      <c r="Y102" s="30">
        <f>E102</f>
        <v>7.1682471678400001E-4</v>
      </c>
      <c r="Z102" s="45">
        <f>E102</f>
        <v>7.1682471678400001E-4</v>
      </c>
      <c r="AB102" s="27">
        <f>D102</f>
        <v>4468</v>
      </c>
      <c r="AC102" s="27">
        <f t="shared" si="15"/>
        <v>4468</v>
      </c>
      <c r="AE102" s="6"/>
    </row>
    <row r="103" spans="2:31" x14ac:dyDescent="0.3">
      <c r="B103" t="s">
        <v>230</v>
      </c>
      <c r="C103" s="4">
        <v>6488913</v>
      </c>
      <c r="D103" s="4">
        <v>5465</v>
      </c>
      <c r="E103" s="48">
        <v>8.4220577468099996E-4</v>
      </c>
      <c r="I103" s="4"/>
      <c r="K103" t="s">
        <v>231</v>
      </c>
      <c r="L103" s="5">
        <v>6081705.0080000004</v>
      </c>
      <c r="M103">
        <v>5123</v>
      </c>
      <c r="N103" s="4">
        <v>5132</v>
      </c>
      <c r="O103" s="48">
        <v>8.4236246139199995E-4</v>
      </c>
      <c r="S103" s="6"/>
      <c r="T103" t="str">
        <f t="shared" si="10"/>
        <v/>
      </c>
      <c r="U103" s="6" t="str">
        <f t="shared" si="11"/>
        <v>W39</v>
      </c>
      <c r="V103" s="27"/>
      <c r="W103" s="27">
        <f t="shared" si="16"/>
        <v>6081705.0080000004</v>
      </c>
      <c r="X103" s="30"/>
      <c r="Y103" s="30">
        <f t="shared" ref="Y103:Y134" si="17">M103/W103</f>
        <v>8.4236246139217537E-4</v>
      </c>
      <c r="Z103" s="45">
        <f t="shared" ref="Z103:Z134" si="18">AC103/W103</f>
        <v>8.9859669168616796E-4</v>
      </c>
      <c r="AB103" s="27">
        <f>D103</f>
        <v>5465</v>
      </c>
      <c r="AC103" s="27">
        <f t="shared" si="15"/>
        <v>5465</v>
      </c>
      <c r="AE103" s="6"/>
    </row>
    <row r="104" spans="2:31" x14ac:dyDescent="0.3">
      <c r="B104" t="s">
        <v>232</v>
      </c>
      <c r="C104" s="4">
        <v>6685022</v>
      </c>
      <c r="D104" s="4">
        <v>6070</v>
      </c>
      <c r="E104" s="48">
        <v>9.0800000359E-4</v>
      </c>
      <c r="I104" s="4"/>
      <c r="K104" t="s">
        <v>233</v>
      </c>
      <c r="L104" s="5">
        <v>6537403.2131000003</v>
      </c>
      <c r="M104">
        <v>5936</v>
      </c>
      <c r="N104" s="4">
        <v>6143</v>
      </c>
      <c r="O104" s="48">
        <v>9.0800579473300004E-4</v>
      </c>
      <c r="S104" s="6"/>
      <c r="T104" t="str">
        <f t="shared" si="10"/>
        <v/>
      </c>
      <c r="U104" s="6" t="str">
        <f t="shared" si="11"/>
        <v>W40</v>
      </c>
      <c r="V104" s="27"/>
      <c r="W104" s="27">
        <f t="shared" si="16"/>
        <v>6537403.2131000003</v>
      </c>
      <c r="X104" s="30"/>
      <c r="Y104" s="30">
        <f t="shared" si="17"/>
        <v>9.0800579473285725E-4</v>
      </c>
      <c r="Z104" s="45">
        <f t="shared" si="18"/>
        <v>9.2850323012608541E-4</v>
      </c>
      <c r="AB104" s="27">
        <f t="shared" ref="AB104:AB135" si="19">M104</f>
        <v>5936</v>
      </c>
      <c r="AC104" s="27">
        <f t="shared" si="15"/>
        <v>6070</v>
      </c>
      <c r="AE104" s="6"/>
    </row>
    <row r="105" spans="2:31" x14ac:dyDescent="0.3">
      <c r="B105" t="s">
        <v>234</v>
      </c>
      <c r="C105" s="4">
        <v>6290249</v>
      </c>
      <c r="D105" s="4">
        <v>5254</v>
      </c>
      <c r="E105" s="48">
        <v>8.3526105246399995E-4</v>
      </c>
      <c r="I105" s="4"/>
      <c r="K105" t="s">
        <v>235</v>
      </c>
      <c r="L105" s="5">
        <v>6721173.3661000002</v>
      </c>
      <c r="M105">
        <v>5614</v>
      </c>
      <c r="N105" s="4">
        <v>5590</v>
      </c>
      <c r="O105" s="48">
        <v>8.3527082165699997E-4</v>
      </c>
      <c r="S105" s="51" t="s">
        <v>236</v>
      </c>
      <c r="T105" t="str">
        <f t="shared" si="10"/>
        <v/>
      </c>
      <c r="U105" s="6" t="str">
        <f t="shared" si="11"/>
        <v>W41</v>
      </c>
      <c r="V105" s="27"/>
      <c r="W105" s="27">
        <f t="shared" si="16"/>
        <v>6721173.3661000002</v>
      </c>
      <c r="X105" s="30"/>
      <c r="Y105" s="30">
        <f t="shared" si="17"/>
        <v>8.3527082165677803E-4</v>
      </c>
      <c r="Z105" s="45">
        <f t="shared" si="18"/>
        <v>7.8170874545506095E-4</v>
      </c>
      <c r="AB105" s="27">
        <f t="shared" si="19"/>
        <v>5614</v>
      </c>
      <c r="AC105" s="27">
        <f t="shared" si="15"/>
        <v>5254</v>
      </c>
      <c r="AE105" s="6"/>
    </row>
    <row r="106" spans="2:31" x14ac:dyDescent="0.3">
      <c r="B106" t="s">
        <v>237</v>
      </c>
      <c r="C106" s="4">
        <v>6688857</v>
      </c>
      <c r="D106" s="4">
        <v>5824</v>
      </c>
      <c r="E106" s="48">
        <v>8.7070182543900001E-4</v>
      </c>
      <c r="I106" s="4"/>
      <c r="K106" t="s">
        <v>238</v>
      </c>
      <c r="L106" s="5">
        <v>6357985.9452</v>
      </c>
      <c r="M106">
        <v>5536</v>
      </c>
      <c r="N106" s="4">
        <v>5806</v>
      </c>
      <c r="O106" s="48">
        <v>8.7071598580400005E-4</v>
      </c>
      <c r="S106" s="46">
        <v>0.97316616611932005</v>
      </c>
      <c r="T106" t="str">
        <f t="shared" si="10"/>
        <v/>
      </c>
      <c r="U106" s="6" t="str">
        <f t="shared" si="11"/>
        <v>W42</v>
      </c>
      <c r="V106" s="27"/>
      <c r="W106" s="27">
        <f t="shared" si="16"/>
        <v>6357985.9452</v>
      </c>
      <c r="X106" s="30"/>
      <c r="Y106" s="30">
        <f t="shared" si="17"/>
        <v>8.7071598580356041E-4</v>
      </c>
      <c r="Z106" s="45">
        <f t="shared" si="18"/>
        <v>9.1601334922686707E-4</v>
      </c>
      <c r="AB106" s="27">
        <f t="shared" si="19"/>
        <v>5536</v>
      </c>
      <c r="AC106" s="27">
        <f t="shared" si="15"/>
        <v>5824</v>
      </c>
      <c r="AE106" s="6"/>
    </row>
    <row r="107" spans="2:31" x14ac:dyDescent="0.3">
      <c r="B107" t="s">
        <v>239</v>
      </c>
      <c r="C107" s="4">
        <v>6652528</v>
      </c>
      <c r="D107" s="4">
        <v>3918</v>
      </c>
      <c r="E107" s="48">
        <v>5.8894904313100003E-4</v>
      </c>
      <c r="I107" s="4"/>
      <c r="K107" t="s">
        <v>240</v>
      </c>
      <c r="L107" s="5">
        <v>6874976.5850999998</v>
      </c>
      <c r="M107">
        <v>4049</v>
      </c>
      <c r="N107" s="4">
        <v>4088</v>
      </c>
      <c r="O107" s="48">
        <v>5.8894746038500002E-4</v>
      </c>
      <c r="S107" s="46">
        <v>1.0480393783999999</v>
      </c>
      <c r="T107" t="str">
        <f t="shared" si="10"/>
        <v/>
      </c>
      <c r="U107" s="6" t="str">
        <f t="shared" si="11"/>
        <v>W43</v>
      </c>
      <c r="V107" s="27"/>
      <c r="W107" s="27">
        <f t="shared" si="16"/>
        <v>6874976.5850999998</v>
      </c>
      <c r="X107" s="30"/>
      <c r="Y107" s="30">
        <f t="shared" si="17"/>
        <v>5.8894746038485679E-4</v>
      </c>
      <c r="Z107" s="45">
        <f t="shared" si="18"/>
        <v>5.698928500340501E-4</v>
      </c>
      <c r="AB107" s="27">
        <f t="shared" si="19"/>
        <v>4049</v>
      </c>
      <c r="AC107" s="27">
        <f t="shared" si="15"/>
        <v>3918</v>
      </c>
      <c r="AE107" s="6"/>
    </row>
    <row r="108" spans="2:31" x14ac:dyDescent="0.3">
      <c r="B108" t="s">
        <v>241</v>
      </c>
      <c r="C108" s="4">
        <v>6289950</v>
      </c>
      <c r="D108" s="4">
        <v>6923</v>
      </c>
      <c r="E108" s="48">
        <v>1.1006446792100001E-3</v>
      </c>
      <c r="I108" s="4"/>
      <c r="K108" t="s">
        <v>242</v>
      </c>
      <c r="L108" s="5">
        <v>6663764.3509</v>
      </c>
      <c r="M108">
        <v>7334</v>
      </c>
      <c r="N108" s="4">
        <v>7417</v>
      </c>
      <c r="O108" s="48">
        <v>1.1005791342260001E-3</v>
      </c>
      <c r="S108" s="6">
        <f>COUNT(S110:S168)</f>
        <v>59</v>
      </c>
      <c r="T108" t="str">
        <f t="shared" si="10"/>
        <v/>
      </c>
      <c r="U108" s="6" t="str">
        <f t="shared" si="11"/>
        <v>W44</v>
      </c>
      <c r="V108" s="27"/>
      <c r="W108" s="27">
        <f t="shared" si="16"/>
        <v>6663764.3509</v>
      </c>
      <c r="X108" s="30"/>
      <c r="Y108" s="30">
        <f t="shared" si="17"/>
        <v>1.1005791342260593E-3</v>
      </c>
      <c r="Z108" s="45">
        <f t="shared" si="18"/>
        <v>1.0389022833715584E-3</v>
      </c>
      <c r="AB108" s="27">
        <f t="shared" si="19"/>
        <v>7334</v>
      </c>
      <c r="AC108" s="27">
        <f t="shared" si="15"/>
        <v>6923</v>
      </c>
      <c r="AE108" s="6"/>
    </row>
    <row r="109" spans="2:31" x14ac:dyDescent="0.3">
      <c r="B109" t="s">
        <v>243</v>
      </c>
      <c r="C109" s="4">
        <v>6504845</v>
      </c>
      <c r="D109" s="4">
        <v>4569</v>
      </c>
      <c r="E109" s="48">
        <v>7.0239951912799995E-4</v>
      </c>
      <c r="I109" s="4"/>
      <c r="K109" t="s">
        <v>244</v>
      </c>
      <c r="L109" s="5">
        <v>7269214.4610000001</v>
      </c>
      <c r="M109">
        <v>5106</v>
      </c>
      <c r="N109" s="4">
        <v>5218</v>
      </c>
      <c r="O109" s="48">
        <v>7.02414274251E-4</v>
      </c>
      <c r="S109" s="49"/>
      <c r="T109" s="50" t="str">
        <f t="shared" ref="T109:T140" si="20">IF(J109=0,"",J109)</f>
        <v/>
      </c>
      <c r="U109" s="49" t="str">
        <f t="shared" ref="U109:U140" si="21">RIGHT(K109,3)</f>
        <v>W45</v>
      </c>
      <c r="V109" s="37"/>
      <c r="W109" s="37">
        <f t="shared" si="16"/>
        <v>7269214.4610000001</v>
      </c>
      <c r="X109" s="40"/>
      <c r="Y109" s="40">
        <f t="shared" si="17"/>
        <v>7.0241427425124915E-4</v>
      </c>
      <c r="Z109" s="52">
        <f t="shared" si="18"/>
        <v>6.2854109264668181E-4</v>
      </c>
      <c r="AA109" s="50"/>
      <c r="AB109" s="37">
        <f t="shared" si="19"/>
        <v>5106</v>
      </c>
      <c r="AC109" s="37">
        <f t="shared" si="15"/>
        <v>4569</v>
      </c>
      <c r="AE109" s="6"/>
    </row>
    <row r="110" spans="2:31" x14ac:dyDescent="0.3">
      <c r="I110" s="4"/>
      <c r="K110" t="s">
        <v>245</v>
      </c>
      <c r="L110" s="5">
        <v>5916670.9545</v>
      </c>
      <c r="M110">
        <v>3062</v>
      </c>
      <c r="N110" s="4">
        <v>3077</v>
      </c>
      <c r="O110" s="48">
        <v>5.1752075171100002E-4</v>
      </c>
      <c r="S110" s="6">
        <f t="shared" ref="S110:S141" si="22">S109+1</f>
        <v>1</v>
      </c>
      <c r="T110" t="str">
        <f t="shared" si="20"/>
        <v/>
      </c>
      <c r="U110" s="6" t="str">
        <f t="shared" si="21"/>
        <v>W46</v>
      </c>
      <c r="V110" s="27"/>
      <c r="W110" s="27">
        <f t="shared" si="16"/>
        <v>5916670.9545</v>
      </c>
      <c r="X110" s="30"/>
      <c r="Y110" s="30">
        <f t="shared" si="17"/>
        <v>5.1752075171108795E-4</v>
      </c>
      <c r="Z110" s="45">
        <f t="shared" si="18"/>
        <v>5.0433766267337895E-4</v>
      </c>
      <c r="AB110" s="27">
        <f t="shared" si="19"/>
        <v>3062</v>
      </c>
      <c r="AC110" s="27">
        <f t="shared" ref="AC110:AC141" si="23">ROUND(M110*($S$106-((($S$106-$S$107)/$S$108)*(S110-0))),0)</f>
        <v>2984</v>
      </c>
      <c r="AE110" s="6"/>
    </row>
    <row r="111" spans="2:31" x14ac:dyDescent="0.3">
      <c r="I111" s="4"/>
      <c r="K111" t="s">
        <v>246</v>
      </c>
      <c r="L111" s="5">
        <v>6739844.5153999999</v>
      </c>
      <c r="M111">
        <v>5335</v>
      </c>
      <c r="N111" s="4">
        <v>5547</v>
      </c>
      <c r="O111" s="48">
        <v>7.9156128718000003E-4</v>
      </c>
      <c r="S111" s="6">
        <f t="shared" si="22"/>
        <v>2</v>
      </c>
      <c r="T111" t="str">
        <f t="shared" si="20"/>
        <v/>
      </c>
      <c r="U111" s="6" t="str">
        <f t="shared" si="21"/>
        <v>W47</v>
      </c>
      <c r="V111" s="27"/>
      <c r="W111" s="27">
        <f t="shared" si="16"/>
        <v>6739844.5153999999</v>
      </c>
      <c r="X111" s="30"/>
      <c r="Y111" s="30">
        <f t="shared" si="17"/>
        <v>7.9156128717954195E-4</v>
      </c>
      <c r="Z111" s="45">
        <f t="shared" si="18"/>
        <v>7.7227300839166179E-4</v>
      </c>
      <c r="AB111" s="27">
        <f t="shared" si="19"/>
        <v>5335</v>
      </c>
      <c r="AC111" s="27">
        <f t="shared" si="23"/>
        <v>5205</v>
      </c>
      <c r="AE111" s="6"/>
    </row>
    <row r="112" spans="2:31" x14ac:dyDescent="0.3">
      <c r="I112" s="4"/>
      <c r="K112" t="s">
        <v>247</v>
      </c>
      <c r="L112" s="5">
        <v>6408578.3017999995</v>
      </c>
      <c r="M112">
        <v>5083</v>
      </c>
      <c r="N112" s="4">
        <v>4961</v>
      </c>
      <c r="O112" s="48">
        <v>7.9315563618400004E-4</v>
      </c>
      <c r="S112" s="6">
        <f t="shared" si="22"/>
        <v>3</v>
      </c>
      <c r="T112" t="str">
        <f t="shared" si="20"/>
        <v/>
      </c>
      <c r="U112" s="6" t="str">
        <f t="shared" si="21"/>
        <v>W48</v>
      </c>
      <c r="V112" s="27"/>
      <c r="W112" s="27">
        <f t="shared" si="16"/>
        <v>6408578.3017999995</v>
      </c>
      <c r="X112" s="30"/>
      <c r="Y112" s="30">
        <f t="shared" si="17"/>
        <v>7.9315563618413156E-4</v>
      </c>
      <c r="Z112" s="45">
        <f t="shared" si="18"/>
        <v>7.7489885683462473E-4</v>
      </c>
      <c r="AB112" s="27">
        <f t="shared" si="19"/>
        <v>5083</v>
      </c>
      <c r="AC112" s="27">
        <f t="shared" si="23"/>
        <v>4966</v>
      </c>
      <c r="AE112" s="6"/>
    </row>
    <row r="113" spans="9:31" x14ac:dyDescent="0.3">
      <c r="I113" s="4"/>
      <c r="K113" t="s">
        <v>248</v>
      </c>
      <c r="L113" s="5">
        <v>6447481.2835999997</v>
      </c>
      <c r="M113">
        <v>4061</v>
      </c>
      <c r="N113" s="4">
        <v>3958</v>
      </c>
      <c r="O113" s="48">
        <v>6.2985836195099995E-4</v>
      </c>
      <c r="S113" s="6">
        <f t="shared" si="22"/>
        <v>4</v>
      </c>
      <c r="T113" t="str">
        <f t="shared" si="20"/>
        <v/>
      </c>
      <c r="U113" s="6" t="str">
        <f t="shared" si="21"/>
        <v>W49</v>
      </c>
      <c r="V113" s="27"/>
      <c r="W113" s="27">
        <f t="shared" si="16"/>
        <v>6447481.2835999997</v>
      </c>
      <c r="X113" s="30"/>
      <c r="Y113" s="30">
        <f t="shared" si="17"/>
        <v>6.2985836195130602E-4</v>
      </c>
      <c r="Z113" s="45">
        <f t="shared" si="18"/>
        <v>6.1620962128356045E-4</v>
      </c>
      <c r="AB113" s="27">
        <f t="shared" si="19"/>
        <v>4061</v>
      </c>
      <c r="AC113" s="27">
        <f t="shared" si="23"/>
        <v>3973</v>
      </c>
      <c r="AE113" s="6"/>
    </row>
    <row r="114" spans="9:31" x14ac:dyDescent="0.3">
      <c r="I114" s="4"/>
      <c r="K114" t="s">
        <v>249</v>
      </c>
      <c r="L114" s="5">
        <v>7096762.0355000002</v>
      </c>
      <c r="M114">
        <v>4501</v>
      </c>
      <c r="N114" s="4">
        <v>4511</v>
      </c>
      <c r="O114" s="48">
        <v>6.3423290473700003E-4</v>
      </c>
      <c r="S114" s="6">
        <f t="shared" si="22"/>
        <v>5</v>
      </c>
      <c r="T114" t="str">
        <f t="shared" si="20"/>
        <v/>
      </c>
      <c r="U114" s="6" t="str">
        <f t="shared" si="21"/>
        <v>W50</v>
      </c>
      <c r="V114" s="27"/>
      <c r="W114" s="27">
        <f t="shared" si="16"/>
        <v>7096762.0355000002</v>
      </c>
      <c r="X114" s="30"/>
      <c r="Y114" s="30">
        <f t="shared" si="17"/>
        <v>6.3423290473665764E-4</v>
      </c>
      <c r="Z114" s="45">
        <f t="shared" si="18"/>
        <v>6.2126924616394657E-4</v>
      </c>
      <c r="AB114" s="27">
        <f t="shared" si="19"/>
        <v>4501</v>
      </c>
      <c r="AC114" s="27">
        <f t="shared" si="23"/>
        <v>4409</v>
      </c>
      <c r="AE114" s="6"/>
    </row>
    <row r="115" spans="9:31" x14ac:dyDescent="0.3">
      <c r="I115" s="4"/>
      <c r="K115" t="s">
        <v>250</v>
      </c>
      <c r="L115" s="5">
        <v>6476906.4483000003</v>
      </c>
      <c r="M115">
        <v>3922</v>
      </c>
      <c r="N115" s="4">
        <v>3972</v>
      </c>
      <c r="O115" s="48">
        <v>6.05535996437E-4</v>
      </c>
      <c r="S115" s="6">
        <f t="shared" si="22"/>
        <v>6</v>
      </c>
      <c r="T115" t="str">
        <f t="shared" si="20"/>
        <v/>
      </c>
      <c r="U115" s="6" t="str">
        <f t="shared" si="21"/>
        <v>W51</v>
      </c>
      <c r="V115" s="27"/>
      <c r="W115" s="27">
        <f t="shared" si="16"/>
        <v>6476906.4483000003</v>
      </c>
      <c r="X115" s="30"/>
      <c r="Y115" s="30">
        <f t="shared" si="17"/>
        <v>6.0553599643691175E-4</v>
      </c>
      <c r="Z115" s="45">
        <f t="shared" si="18"/>
        <v>5.9395639426129514E-4</v>
      </c>
      <c r="AB115" s="27">
        <f t="shared" si="19"/>
        <v>3922</v>
      </c>
      <c r="AC115" s="27">
        <f t="shared" si="23"/>
        <v>3847</v>
      </c>
      <c r="AE115" s="6"/>
    </row>
    <row r="116" spans="9:31" x14ac:dyDescent="0.3">
      <c r="I116" s="4"/>
      <c r="K116" t="s">
        <v>251</v>
      </c>
      <c r="L116" s="5">
        <v>7199820.5182999996</v>
      </c>
      <c r="M116">
        <v>5693</v>
      </c>
      <c r="N116" s="4">
        <v>5571</v>
      </c>
      <c r="O116" s="48">
        <v>7.9071415537800005E-4</v>
      </c>
      <c r="S116" s="6">
        <f t="shared" si="22"/>
        <v>7</v>
      </c>
      <c r="T116" t="str">
        <f t="shared" si="20"/>
        <v/>
      </c>
      <c r="U116" s="6" t="str">
        <f t="shared" si="21"/>
        <v>W52</v>
      </c>
      <c r="V116" s="27"/>
      <c r="W116" s="27">
        <f t="shared" si="16"/>
        <v>7199820.5182999996</v>
      </c>
      <c r="X116" s="30"/>
      <c r="Y116" s="30">
        <f t="shared" si="17"/>
        <v>7.9071415537789185E-4</v>
      </c>
      <c r="Z116" s="45">
        <f t="shared" si="18"/>
        <v>7.7654713555555836E-4</v>
      </c>
      <c r="AB116" s="27">
        <f t="shared" si="19"/>
        <v>5693</v>
      </c>
      <c r="AC116" s="27">
        <f t="shared" si="23"/>
        <v>5591</v>
      </c>
      <c r="AE116" s="6"/>
    </row>
    <row r="117" spans="9:31" x14ac:dyDescent="0.3">
      <c r="J117" t="s">
        <v>252</v>
      </c>
      <c r="K117" t="s">
        <v>253</v>
      </c>
      <c r="L117" s="5">
        <v>6318337.2000000002</v>
      </c>
      <c r="M117">
        <v>5431</v>
      </c>
      <c r="N117" s="4">
        <v>5307</v>
      </c>
      <c r="O117" s="48">
        <v>8.5956159478200002E-4</v>
      </c>
      <c r="S117" s="6">
        <f t="shared" si="22"/>
        <v>8</v>
      </c>
      <c r="T117" t="str">
        <f t="shared" si="20"/>
        <v>FY2027</v>
      </c>
      <c r="U117" s="6" t="str">
        <f t="shared" si="21"/>
        <v>W01</v>
      </c>
      <c r="V117" s="27"/>
      <c r="W117" s="27">
        <f t="shared" si="16"/>
        <v>6318337.2000000002</v>
      </c>
      <c r="X117" s="30"/>
      <c r="Y117" s="30">
        <f t="shared" si="17"/>
        <v>8.5956159478161437E-4</v>
      </c>
      <c r="Z117" s="45">
        <f t="shared" si="18"/>
        <v>8.4515907128223538E-4</v>
      </c>
      <c r="AB117" s="27">
        <f t="shared" si="19"/>
        <v>5431</v>
      </c>
      <c r="AC117" s="27">
        <f t="shared" si="23"/>
        <v>5340</v>
      </c>
      <c r="AE117" s="6"/>
    </row>
    <row r="118" spans="9:31" x14ac:dyDescent="0.3">
      <c r="K118" t="s">
        <v>254</v>
      </c>
      <c r="L118" s="5">
        <v>6534462.9402000001</v>
      </c>
      <c r="M118">
        <v>4709</v>
      </c>
      <c r="N118" s="4">
        <v>4539</v>
      </c>
      <c r="O118" s="48">
        <v>7.2064070805700001E-4</v>
      </c>
      <c r="S118" s="6">
        <f t="shared" si="22"/>
        <v>9</v>
      </c>
      <c r="T118" t="str">
        <f t="shared" si="20"/>
        <v/>
      </c>
      <c r="U118" s="6" t="str">
        <f t="shared" si="21"/>
        <v>W02</v>
      </c>
      <c r="V118" s="27"/>
      <c r="W118" s="27">
        <f t="shared" si="16"/>
        <v>6534462.9402000001</v>
      </c>
      <c r="X118" s="30"/>
      <c r="Y118" s="30">
        <f t="shared" si="17"/>
        <v>7.2064070805731312E-4</v>
      </c>
      <c r="Z118" s="45">
        <f t="shared" si="18"/>
        <v>7.0946917021739292E-4</v>
      </c>
      <c r="AB118" s="27">
        <f t="shared" si="19"/>
        <v>4709</v>
      </c>
      <c r="AC118" s="27">
        <f t="shared" si="23"/>
        <v>4636</v>
      </c>
      <c r="AE118" s="6"/>
    </row>
    <row r="119" spans="9:31" x14ac:dyDescent="0.3">
      <c r="K119" t="s">
        <v>255</v>
      </c>
      <c r="L119" s="5">
        <v>6262799.8596000001</v>
      </c>
      <c r="M119">
        <v>6071</v>
      </c>
      <c r="N119" s="4">
        <v>5908</v>
      </c>
      <c r="O119" s="48">
        <v>9.6937474230400001E-4</v>
      </c>
      <c r="S119" s="6">
        <f t="shared" si="22"/>
        <v>10</v>
      </c>
      <c r="T119" t="str">
        <f t="shared" si="20"/>
        <v/>
      </c>
      <c r="U119" s="6" t="str">
        <f t="shared" si="21"/>
        <v>W03</v>
      </c>
      <c r="V119" s="27"/>
      <c r="W119" s="27">
        <f t="shared" si="16"/>
        <v>6262799.8596000001</v>
      </c>
      <c r="X119" s="30"/>
      <c r="Y119" s="30">
        <f t="shared" si="17"/>
        <v>9.6937474230379607E-4</v>
      </c>
      <c r="Z119" s="45">
        <f t="shared" si="18"/>
        <v>9.5564286488028646E-4</v>
      </c>
      <c r="AB119" s="27">
        <f t="shared" si="19"/>
        <v>6071</v>
      </c>
      <c r="AC119" s="27">
        <f t="shared" si="23"/>
        <v>5985</v>
      </c>
      <c r="AE119" s="6"/>
    </row>
    <row r="120" spans="9:31" x14ac:dyDescent="0.3">
      <c r="K120" t="s">
        <v>256</v>
      </c>
      <c r="L120" s="5">
        <v>6193298.6692000004</v>
      </c>
      <c r="M120">
        <v>4453</v>
      </c>
      <c r="N120" s="4">
        <v>4259</v>
      </c>
      <c r="O120" s="48">
        <v>7.1900294783900005E-4</v>
      </c>
      <c r="S120" s="6">
        <f t="shared" si="22"/>
        <v>11</v>
      </c>
      <c r="T120" t="str">
        <f t="shared" si="20"/>
        <v/>
      </c>
      <c r="U120" s="6" t="str">
        <f t="shared" si="21"/>
        <v>W04</v>
      </c>
      <c r="V120" s="27"/>
      <c r="W120" s="27">
        <f t="shared" si="16"/>
        <v>6193298.6692000004</v>
      </c>
      <c r="X120" s="30"/>
      <c r="Y120" s="30">
        <f t="shared" si="17"/>
        <v>7.1900294783865191E-4</v>
      </c>
      <c r="Z120" s="45">
        <f t="shared" si="18"/>
        <v>7.0979945176256767E-4</v>
      </c>
      <c r="AB120" s="27">
        <f t="shared" si="19"/>
        <v>4453</v>
      </c>
      <c r="AC120" s="27">
        <f t="shared" si="23"/>
        <v>4396</v>
      </c>
      <c r="AE120" s="6"/>
    </row>
    <row r="121" spans="9:31" x14ac:dyDescent="0.3">
      <c r="K121" t="s">
        <v>257</v>
      </c>
      <c r="L121" s="5">
        <v>6428229.2600999996</v>
      </c>
      <c r="M121">
        <v>3726</v>
      </c>
      <c r="N121" s="4">
        <v>3692</v>
      </c>
      <c r="O121" s="48">
        <v>5.7963085155099999E-4</v>
      </c>
      <c r="S121" s="6">
        <f t="shared" si="22"/>
        <v>12</v>
      </c>
      <c r="T121" t="str">
        <f t="shared" si="20"/>
        <v/>
      </c>
      <c r="U121" s="6" t="str">
        <f t="shared" si="21"/>
        <v>W05</v>
      </c>
      <c r="V121" s="27"/>
      <c r="W121" s="27">
        <f t="shared" si="16"/>
        <v>6428229.2600999996</v>
      </c>
      <c r="X121" s="30"/>
      <c r="Y121" s="30">
        <f t="shared" si="17"/>
        <v>5.7963085155149504E-4</v>
      </c>
      <c r="Z121" s="45">
        <f t="shared" si="18"/>
        <v>5.7294160661947296E-4</v>
      </c>
      <c r="AB121" s="27">
        <f t="shared" si="19"/>
        <v>3726</v>
      </c>
      <c r="AC121" s="27">
        <f t="shared" si="23"/>
        <v>3683</v>
      </c>
      <c r="AE121" s="6"/>
    </row>
    <row r="122" spans="9:31" x14ac:dyDescent="0.3">
      <c r="K122" t="s">
        <v>258</v>
      </c>
      <c r="L122" s="5">
        <v>6305771.6613999996</v>
      </c>
      <c r="M122">
        <v>4099</v>
      </c>
      <c r="N122" s="4">
        <v>3979</v>
      </c>
      <c r="O122" s="48">
        <v>6.5003939566800003E-4</v>
      </c>
      <c r="S122" s="6">
        <f t="shared" si="22"/>
        <v>13</v>
      </c>
      <c r="T122" t="str">
        <f t="shared" si="20"/>
        <v/>
      </c>
      <c r="U122" s="6" t="str">
        <f t="shared" si="21"/>
        <v>W06</v>
      </c>
      <c r="V122" s="27"/>
      <c r="W122" s="27">
        <f t="shared" si="16"/>
        <v>6305771.6613999996</v>
      </c>
      <c r="X122" s="30"/>
      <c r="Y122" s="30">
        <f t="shared" si="17"/>
        <v>6.5003939566849855E-4</v>
      </c>
      <c r="Z122" s="45">
        <f t="shared" si="18"/>
        <v>6.4337883098977765E-4</v>
      </c>
      <c r="AB122" s="27">
        <f t="shared" si="19"/>
        <v>4099</v>
      </c>
      <c r="AC122" s="27">
        <f t="shared" si="23"/>
        <v>4057</v>
      </c>
      <c r="AE122" s="6"/>
    </row>
    <row r="123" spans="9:31" x14ac:dyDescent="0.3">
      <c r="K123" t="s">
        <v>259</v>
      </c>
      <c r="L123" s="5">
        <v>6456218.3324999996</v>
      </c>
      <c r="M123">
        <v>4899</v>
      </c>
      <c r="N123" s="4">
        <v>4860</v>
      </c>
      <c r="O123" s="48">
        <v>7.5880333466100004E-4</v>
      </c>
      <c r="S123" s="6">
        <f t="shared" si="22"/>
        <v>14</v>
      </c>
      <c r="T123" t="str">
        <f t="shared" si="20"/>
        <v/>
      </c>
      <c r="U123" s="6" t="str">
        <f t="shared" si="21"/>
        <v>W07</v>
      </c>
      <c r="V123" s="27"/>
      <c r="W123" s="27">
        <f t="shared" si="16"/>
        <v>6456218.3324999996</v>
      </c>
      <c r="X123" s="30"/>
      <c r="Y123" s="30">
        <f t="shared" si="17"/>
        <v>7.5880333466092555E-4</v>
      </c>
      <c r="Z123" s="45">
        <f t="shared" si="18"/>
        <v>7.519881995874247E-4</v>
      </c>
      <c r="AB123" s="27">
        <f t="shared" si="19"/>
        <v>4899</v>
      </c>
      <c r="AC123" s="27">
        <f t="shared" si="23"/>
        <v>4855</v>
      </c>
      <c r="AE123" s="6"/>
    </row>
    <row r="124" spans="9:31" x14ac:dyDescent="0.3">
      <c r="K124" t="s">
        <v>260</v>
      </c>
      <c r="L124" s="5">
        <v>5718374.1468000002</v>
      </c>
      <c r="M124">
        <v>5514</v>
      </c>
      <c r="N124" s="4">
        <v>5622</v>
      </c>
      <c r="O124" s="48">
        <v>9.6426009534299998E-4</v>
      </c>
      <c r="S124" s="6">
        <f t="shared" si="22"/>
        <v>15</v>
      </c>
      <c r="T124" t="str">
        <f t="shared" si="20"/>
        <v/>
      </c>
      <c r="U124" s="6" t="str">
        <f t="shared" si="21"/>
        <v>W08</v>
      </c>
      <c r="V124" s="27"/>
      <c r="W124" s="27">
        <f t="shared" si="16"/>
        <v>5718374.1468000002</v>
      </c>
      <c r="X124" s="30"/>
      <c r="Y124" s="30">
        <f t="shared" si="17"/>
        <v>9.6426009534294501E-4</v>
      </c>
      <c r="Z124" s="45">
        <f t="shared" si="18"/>
        <v>9.5674047544817777E-4</v>
      </c>
      <c r="AB124" s="27">
        <f t="shared" si="19"/>
        <v>5514</v>
      </c>
      <c r="AC124" s="27">
        <f t="shared" si="23"/>
        <v>5471</v>
      </c>
      <c r="AE124" s="6"/>
    </row>
    <row r="125" spans="9:31" x14ac:dyDescent="0.3">
      <c r="K125" t="s">
        <v>261</v>
      </c>
      <c r="L125" s="5">
        <v>7024942.3975</v>
      </c>
      <c r="M125">
        <v>4834</v>
      </c>
      <c r="N125" s="4">
        <v>5006</v>
      </c>
      <c r="O125" s="48">
        <v>6.8811952133900002E-4</v>
      </c>
      <c r="S125" s="6">
        <f t="shared" si="22"/>
        <v>16</v>
      </c>
      <c r="T125" t="str">
        <f t="shared" si="20"/>
        <v/>
      </c>
      <c r="U125" s="6" t="str">
        <f t="shared" si="21"/>
        <v>W09</v>
      </c>
      <c r="V125" s="27"/>
      <c r="W125" s="27">
        <f t="shared" si="16"/>
        <v>7024942.3975</v>
      </c>
      <c r="X125" s="30"/>
      <c r="Y125" s="30">
        <f t="shared" si="17"/>
        <v>6.8811952133875131E-4</v>
      </c>
      <c r="Z125" s="45">
        <f t="shared" si="18"/>
        <v>6.8356432384540416E-4</v>
      </c>
      <c r="AB125" s="27">
        <f t="shared" si="19"/>
        <v>4834</v>
      </c>
      <c r="AC125" s="27">
        <f t="shared" si="23"/>
        <v>4802</v>
      </c>
      <c r="AE125" s="6"/>
    </row>
    <row r="126" spans="9:31" x14ac:dyDescent="0.3">
      <c r="K126" t="s">
        <v>262</v>
      </c>
      <c r="L126" s="5">
        <v>6296458.8701999998</v>
      </c>
      <c r="M126">
        <v>5128</v>
      </c>
      <c r="N126" s="4">
        <v>4875</v>
      </c>
      <c r="O126" s="48">
        <v>8.1442602988599996E-4</v>
      </c>
      <c r="S126" s="6">
        <f t="shared" si="22"/>
        <v>17</v>
      </c>
      <c r="T126" t="str">
        <f t="shared" si="20"/>
        <v/>
      </c>
      <c r="U126" s="6" t="str">
        <f t="shared" si="21"/>
        <v>W10</v>
      </c>
      <c r="V126" s="27"/>
      <c r="W126" s="27">
        <f t="shared" si="16"/>
        <v>6296458.8701999998</v>
      </c>
      <c r="X126" s="30"/>
      <c r="Y126" s="30">
        <f t="shared" si="17"/>
        <v>8.1442602988640101E-4</v>
      </c>
      <c r="Z126" s="45">
        <f t="shared" si="18"/>
        <v>8.1013790531406628E-4</v>
      </c>
      <c r="AB126" s="27">
        <f t="shared" si="19"/>
        <v>5128</v>
      </c>
      <c r="AC126" s="27">
        <f t="shared" si="23"/>
        <v>5101</v>
      </c>
      <c r="AE126" s="6"/>
    </row>
    <row r="127" spans="9:31" x14ac:dyDescent="0.3">
      <c r="K127" t="s">
        <v>263</v>
      </c>
      <c r="L127" s="5">
        <v>6900357.8591</v>
      </c>
      <c r="M127">
        <v>4512</v>
      </c>
      <c r="N127" s="4">
        <v>4445</v>
      </c>
      <c r="O127" s="48">
        <v>6.53879130928E-4</v>
      </c>
      <c r="S127" s="6">
        <f t="shared" si="22"/>
        <v>18</v>
      </c>
      <c r="T127" t="str">
        <f t="shared" si="20"/>
        <v/>
      </c>
      <c r="U127" s="6" t="str">
        <f t="shared" si="21"/>
        <v>W11</v>
      </c>
      <c r="V127" s="27"/>
      <c r="W127" s="27">
        <f t="shared" si="16"/>
        <v>6900357.8591</v>
      </c>
      <c r="X127" s="30"/>
      <c r="Y127" s="30">
        <f t="shared" si="17"/>
        <v>6.5387913092792714E-4</v>
      </c>
      <c r="Z127" s="45">
        <f t="shared" si="18"/>
        <v>6.5127057056518279E-4</v>
      </c>
      <c r="AB127" s="27">
        <f t="shared" si="19"/>
        <v>4512</v>
      </c>
      <c r="AC127" s="27">
        <f t="shared" si="23"/>
        <v>4494</v>
      </c>
      <c r="AE127" s="6"/>
    </row>
    <row r="128" spans="9:31" x14ac:dyDescent="0.3">
      <c r="K128" t="s">
        <v>264</v>
      </c>
      <c r="L128" s="5">
        <v>6021320.0039999997</v>
      </c>
      <c r="M128">
        <v>4856</v>
      </c>
      <c r="N128" s="4">
        <v>5076</v>
      </c>
      <c r="O128" s="48">
        <v>8.0646768429100001E-4</v>
      </c>
      <c r="S128" s="6">
        <f t="shared" si="22"/>
        <v>19</v>
      </c>
      <c r="T128" t="str">
        <f t="shared" si="20"/>
        <v/>
      </c>
      <c r="U128" s="6" t="str">
        <f t="shared" si="21"/>
        <v>W12</v>
      </c>
      <c r="V128" s="27"/>
      <c r="W128" s="27">
        <f t="shared" si="16"/>
        <v>6021320.0039999997</v>
      </c>
      <c r="X128" s="30"/>
      <c r="Y128" s="30">
        <f t="shared" si="17"/>
        <v>8.0646768429084149E-4</v>
      </c>
      <c r="Z128" s="45">
        <f t="shared" si="18"/>
        <v>8.0430868925464272E-4</v>
      </c>
      <c r="AB128" s="27">
        <f t="shared" si="19"/>
        <v>4856</v>
      </c>
      <c r="AC128" s="27">
        <f t="shared" si="23"/>
        <v>4843</v>
      </c>
      <c r="AE128" s="6"/>
    </row>
    <row r="129" spans="11:31" x14ac:dyDescent="0.3">
      <c r="K129" t="s">
        <v>265</v>
      </c>
      <c r="L129" s="5">
        <v>6427812.8924000002</v>
      </c>
      <c r="M129">
        <v>3253</v>
      </c>
      <c r="N129" s="4">
        <v>3227</v>
      </c>
      <c r="O129" s="48">
        <v>5.0608193711499999E-4</v>
      </c>
      <c r="S129" s="6">
        <f t="shared" si="22"/>
        <v>20</v>
      </c>
      <c r="T129" t="str">
        <f t="shared" si="20"/>
        <v/>
      </c>
      <c r="U129" s="6" t="str">
        <f t="shared" si="21"/>
        <v>W13</v>
      </c>
      <c r="V129" s="27"/>
      <c r="W129" s="27">
        <f t="shared" si="16"/>
        <v>6427812.8924000002</v>
      </c>
      <c r="X129" s="30"/>
      <c r="Y129" s="30">
        <f t="shared" si="17"/>
        <v>5.0608193711522355E-4</v>
      </c>
      <c r="Z129" s="45">
        <f t="shared" si="18"/>
        <v>5.0530406755310356E-4</v>
      </c>
      <c r="AB129" s="27">
        <f t="shared" si="19"/>
        <v>3253</v>
      </c>
      <c r="AC129" s="27">
        <f t="shared" si="23"/>
        <v>3248</v>
      </c>
      <c r="AE129" s="6"/>
    </row>
    <row r="130" spans="11:31" x14ac:dyDescent="0.3">
      <c r="K130" t="s">
        <v>266</v>
      </c>
      <c r="L130" s="5">
        <v>7303775.3784999996</v>
      </c>
      <c r="M130">
        <v>5822</v>
      </c>
      <c r="N130" s="4">
        <v>5882</v>
      </c>
      <c r="O130" s="48">
        <v>7.9712199489799995E-4</v>
      </c>
      <c r="S130" s="6">
        <f t="shared" si="22"/>
        <v>21</v>
      </c>
      <c r="T130" t="str">
        <f t="shared" si="20"/>
        <v/>
      </c>
      <c r="U130" s="6" t="str">
        <f t="shared" si="21"/>
        <v>W14</v>
      </c>
      <c r="V130" s="27"/>
      <c r="W130" s="27">
        <f t="shared" si="16"/>
        <v>7303775.3784999996</v>
      </c>
      <c r="X130" s="30"/>
      <c r="Y130" s="30">
        <f t="shared" si="17"/>
        <v>7.9712199489843612E-4</v>
      </c>
      <c r="Z130" s="45">
        <f t="shared" si="18"/>
        <v>7.9698507940635459E-4</v>
      </c>
      <c r="AB130" s="27">
        <f t="shared" si="19"/>
        <v>5822</v>
      </c>
      <c r="AC130" s="27">
        <f t="shared" si="23"/>
        <v>5821</v>
      </c>
      <c r="AE130" s="6"/>
    </row>
    <row r="131" spans="11:31" x14ac:dyDescent="0.3">
      <c r="K131" t="s">
        <v>267</v>
      </c>
      <c r="L131" s="5">
        <v>6026840.7052999996</v>
      </c>
      <c r="M131">
        <v>3685</v>
      </c>
      <c r="N131" s="4">
        <v>3582</v>
      </c>
      <c r="O131" s="48">
        <v>6.1143145806999996E-4</v>
      </c>
      <c r="S131" s="6">
        <f t="shared" si="22"/>
        <v>22</v>
      </c>
      <c r="T131" t="str">
        <f t="shared" si="20"/>
        <v/>
      </c>
      <c r="U131" s="6" t="str">
        <f t="shared" si="21"/>
        <v>W15</v>
      </c>
      <c r="V131" s="27"/>
      <c r="W131" s="27">
        <f t="shared" si="16"/>
        <v>6026840.7052999996</v>
      </c>
      <c r="X131" s="30"/>
      <c r="Y131" s="30">
        <f t="shared" si="17"/>
        <v>6.1143145807046357E-4</v>
      </c>
      <c r="Z131" s="45">
        <f t="shared" si="18"/>
        <v>6.1209515571830132E-4</v>
      </c>
      <c r="AB131" s="27">
        <f t="shared" si="19"/>
        <v>3685</v>
      </c>
      <c r="AC131" s="27">
        <f t="shared" si="23"/>
        <v>3689</v>
      </c>
      <c r="AE131" s="6"/>
    </row>
    <row r="132" spans="11:31" x14ac:dyDescent="0.3">
      <c r="K132" t="s">
        <v>268</v>
      </c>
      <c r="L132" s="5">
        <v>5826908.9834000003</v>
      </c>
      <c r="M132">
        <v>4840</v>
      </c>
      <c r="N132" s="4">
        <v>4612</v>
      </c>
      <c r="O132" s="48">
        <v>8.3062907174100001E-4</v>
      </c>
      <c r="S132" s="6">
        <f t="shared" si="22"/>
        <v>23</v>
      </c>
      <c r="T132" t="str">
        <f t="shared" si="20"/>
        <v/>
      </c>
      <c r="U132" s="6" t="str">
        <f t="shared" si="21"/>
        <v>W16</v>
      </c>
      <c r="V132" s="27"/>
      <c r="W132" s="27">
        <f t="shared" si="16"/>
        <v>5826908.9834000003</v>
      </c>
      <c r="X132" s="30"/>
      <c r="Y132" s="30">
        <f t="shared" si="17"/>
        <v>8.3062907174085647E-4</v>
      </c>
      <c r="Z132" s="45">
        <f t="shared" si="18"/>
        <v>8.3251686508572207E-4</v>
      </c>
      <c r="AB132" s="27">
        <f t="shared" si="19"/>
        <v>4840</v>
      </c>
      <c r="AC132" s="27">
        <f t="shared" si="23"/>
        <v>4851</v>
      </c>
      <c r="AE132" s="6"/>
    </row>
    <row r="133" spans="11:31" x14ac:dyDescent="0.3">
      <c r="K133" t="s">
        <v>269</v>
      </c>
      <c r="L133" s="5">
        <v>6119767.5577999996</v>
      </c>
      <c r="M133">
        <v>5860</v>
      </c>
      <c r="N133" s="4">
        <v>5764</v>
      </c>
      <c r="O133" s="48">
        <v>9.5755270844099995E-4</v>
      </c>
      <c r="S133" s="6">
        <f t="shared" si="22"/>
        <v>24</v>
      </c>
      <c r="T133" t="str">
        <f t="shared" si="20"/>
        <v/>
      </c>
      <c r="U133" s="6" t="str">
        <f t="shared" si="21"/>
        <v>W17</v>
      </c>
      <c r="V133" s="27"/>
      <c r="W133" s="27">
        <f t="shared" si="16"/>
        <v>6119767.5577999996</v>
      </c>
      <c r="X133" s="30"/>
      <c r="Y133" s="30">
        <f t="shared" si="17"/>
        <v>9.5755270844087689E-4</v>
      </c>
      <c r="Z133" s="45">
        <f t="shared" si="18"/>
        <v>9.6098421132095511E-4</v>
      </c>
      <c r="AB133" s="27">
        <f t="shared" si="19"/>
        <v>5860</v>
      </c>
      <c r="AC133" s="27">
        <f t="shared" si="23"/>
        <v>5881</v>
      </c>
      <c r="AE133" s="6"/>
    </row>
    <row r="134" spans="11:31" x14ac:dyDescent="0.3">
      <c r="K134" t="s">
        <v>270</v>
      </c>
      <c r="L134" s="5">
        <v>6432482.4929</v>
      </c>
      <c r="M134">
        <v>4723</v>
      </c>
      <c r="N134" s="4">
        <v>4565</v>
      </c>
      <c r="O134" s="48">
        <v>7.3424218491300003E-4</v>
      </c>
      <c r="S134" s="6">
        <f t="shared" si="22"/>
        <v>25</v>
      </c>
      <c r="T134" t="str">
        <f t="shared" si="20"/>
        <v/>
      </c>
      <c r="U134" s="6" t="str">
        <f t="shared" si="21"/>
        <v>W18</v>
      </c>
      <c r="V134" s="27"/>
      <c r="W134" s="27">
        <f t="shared" ref="W134:W168" si="24">L134</f>
        <v>6432482.4929</v>
      </c>
      <c r="X134" s="30"/>
      <c r="Y134" s="30">
        <f t="shared" si="17"/>
        <v>7.3424218491276421E-4</v>
      </c>
      <c r="Z134" s="45">
        <f t="shared" si="18"/>
        <v>7.3781778733770457E-4</v>
      </c>
      <c r="AB134" s="27">
        <f t="shared" si="19"/>
        <v>4723</v>
      </c>
      <c r="AC134" s="27">
        <f t="shared" si="23"/>
        <v>4746</v>
      </c>
      <c r="AE134" s="6"/>
    </row>
    <row r="135" spans="11:31" x14ac:dyDescent="0.3">
      <c r="K135" t="s">
        <v>271</v>
      </c>
      <c r="L135" s="5">
        <v>6492107.1008000001</v>
      </c>
      <c r="M135">
        <v>4299</v>
      </c>
      <c r="N135" s="4">
        <v>4285</v>
      </c>
      <c r="O135" s="48">
        <v>6.6218870595500005E-4</v>
      </c>
      <c r="S135" s="6">
        <f t="shared" si="22"/>
        <v>26</v>
      </c>
      <c r="T135" t="str">
        <f t="shared" si="20"/>
        <v/>
      </c>
      <c r="U135" s="6" t="str">
        <f t="shared" si="21"/>
        <v>W19</v>
      </c>
      <c r="V135" s="27"/>
      <c r="W135" s="27">
        <f t="shared" si="24"/>
        <v>6492107.1008000001</v>
      </c>
      <c r="X135" s="30"/>
      <c r="Y135" s="30">
        <f t="shared" ref="Y135:Y168" si="25">M135/W135</f>
        <v>6.6218870595499712E-4</v>
      </c>
      <c r="Z135" s="45">
        <f t="shared" ref="Z135:Z168" si="26">AC135/W135</f>
        <v>6.6619356902892818E-4</v>
      </c>
      <c r="AB135" s="27">
        <f t="shared" si="19"/>
        <v>4299</v>
      </c>
      <c r="AC135" s="27">
        <f t="shared" si="23"/>
        <v>4325</v>
      </c>
      <c r="AE135" s="6"/>
    </row>
    <row r="136" spans="11:31" x14ac:dyDescent="0.3">
      <c r="K136" t="s">
        <v>272</v>
      </c>
      <c r="L136" s="5">
        <v>6673491.0028999997</v>
      </c>
      <c r="M136">
        <v>6310</v>
      </c>
      <c r="N136" s="4">
        <v>6012</v>
      </c>
      <c r="O136" s="48">
        <v>9.4553210564899998E-4</v>
      </c>
      <c r="S136" s="6">
        <f t="shared" si="22"/>
        <v>27</v>
      </c>
      <c r="T136" t="str">
        <f t="shared" si="20"/>
        <v/>
      </c>
      <c r="U136" s="6" t="str">
        <f t="shared" si="21"/>
        <v>W20</v>
      </c>
      <c r="V136" s="27"/>
      <c r="W136" s="27">
        <f t="shared" si="24"/>
        <v>6673491.0028999997</v>
      </c>
      <c r="X136" s="30"/>
      <c r="Y136" s="30">
        <f t="shared" si="25"/>
        <v>9.4553210564874627E-4</v>
      </c>
      <c r="Z136" s="45">
        <f t="shared" si="26"/>
        <v>9.5257489629303955E-4</v>
      </c>
      <c r="AB136" s="27">
        <f t="shared" ref="AB136:AB168" si="27">M136</f>
        <v>6310</v>
      </c>
      <c r="AC136" s="27">
        <f t="shared" si="23"/>
        <v>6357</v>
      </c>
      <c r="AE136" s="6"/>
    </row>
    <row r="137" spans="11:31" x14ac:dyDescent="0.3">
      <c r="K137" t="s">
        <v>273</v>
      </c>
      <c r="L137" s="5">
        <v>6179577.8386000004</v>
      </c>
      <c r="M137">
        <v>5873</v>
      </c>
      <c r="N137" s="4">
        <v>5811</v>
      </c>
      <c r="O137" s="48">
        <v>9.5038854649799999E-4</v>
      </c>
      <c r="S137" s="6">
        <f t="shared" si="22"/>
        <v>28</v>
      </c>
      <c r="T137" t="str">
        <f t="shared" si="20"/>
        <v/>
      </c>
      <c r="U137" s="6" t="str">
        <f t="shared" si="21"/>
        <v>W21</v>
      </c>
      <c r="V137" s="27"/>
      <c r="W137" s="27">
        <f t="shared" si="24"/>
        <v>6179577.8386000004</v>
      </c>
      <c r="X137" s="30"/>
      <c r="Y137" s="30">
        <f t="shared" si="25"/>
        <v>9.5038854649827397E-4</v>
      </c>
      <c r="Z137" s="45">
        <f t="shared" si="26"/>
        <v>9.5864153745203046E-4</v>
      </c>
      <c r="AB137" s="27">
        <f t="shared" si="27"/>
        <v>5873</v>
      </c>
      <c r="AC137" s="27">
        <f t="shared" si="23"/>
        <v>5924</v>
      </c>
      <c r="AE137" s="6"/>
    </row>
    <row r="138" spans="11:31" x14ac:dyDescent="0.3">
      <c r="K138" t="s">
        <v>274</v>
      </c>
      <c r="L138" s="5">
        <v>5751386.6359999999</v>
      </c>
      <c r="M138">
        <v>4415</v>
      </c>
      <c r="N138" s="4">
        <v>4478</v>
      </c>
      <c r="O138" s="48">
        <v>7.6764096719999998E-4</v>
      </c>
      <c r="S138" s="6">
        <f t="shared" si="22"/>
        <v>29</v>
      </c>
      <c r="T138" t="str">
        <f t="shared" si="20"/>
        <v/>
      </c>
      <c r="U138" s="6" t="str">
        <f t="shared" si="21"/>
        <v>W22</v>
      </c>
      <c r="V138" s="27"/>
      <c r="W138" s="27">
        <f t="shared" si="24"/>
        <v>5751386.6359999999</v>
      </c>
      <c r="X138" s="30"/>
      <c r="Y138" s="30">
        <f t="shared" si="25"/>
        <v>7.6764096719996627E-4</v>
      </c>
      <c r="Z138" s="45">
        <f t="shared" si="26"/>
        <v>7.752912962049036E-4</v>
      </c>
      <c r="AB138" s="27">
        <f t="shared" si="27"/>
        <v>4415</v>
      </c>
      <c r="AC138" s="27">
        <f t="shared" si="23"/>
        <v>4459</v>
      </c>
      <c r="AE138" s="6"/>
    </row>
    <row r="139" spans="11:31" x14ac:dyDescent="0.3">
      <c r="K139" t="s">
        <v>275</v>
      </c>
      <c r="L139" s="5">
        <v>6078190.6108999997</v>
      </c>
      <c r="M139">
        <v>4778</v>
      </c>
      <c r="N139" s="4">
        <v>4604</v>
      </c>
      <c r="O139" s="48">
        <v>7.8608920085999998E-4</v>
      </c>
      <c r="S139" s="6">
        <f t="shared" si="22"/>
        <v>30</v>
      </c>
      <c r="T139" t="str">
        <f t="shared" si="20"/>
        <v/>
      </c>
      <c r="U139" s="6" t="str">
        <f t="shared" si="21"/>
        <v>W23</v>
      </c>
      <c r="V139" s="27"/>
      <c r="W139" s="27">
        <f t="shared" si="24"/>
        <v>6078190.6108999997</v>
      </c>
      <c r="X139" s="30"/>
      <c r="Y139" s="30">
        <f t="shared" si="25"/>
        <v>7.8608920086047117E-4</v>
      </c>
      <c r="Z139" s="45">
        <f t="shared" si="26"/>
        <v>7.9497342372494698E-4</v>
      </c>
      <c r="AB139" s="27">
        <f t="shared" si="27"/>
        <v>4778</v>
      </c>
      <c r="AC139" s="27">
        <f t="shared" si="23"/>
        <v>4832</v>
      </c>
      <c r="AE139" s="6"/>
    </row>
    <row r="140" spans="11:31" x14ac:dyDescent="0.3">
      <c r="K140" t="s">
        <v>276</v>
      </c>
      <c r="L140" s="5">
        <v>6596933.8770000003</v>
      </c>
      <c r="M140">
        <v>4969</v>
      </c>
      <c r="N140" s="4">
        <v>4909</v>
      </c>
      <c r="O140" s="48">
        <v>7.5322871088999996E-4</v>
      </c>
      <c r="S140" s="6">
        <f t="shared" si="22"/>
        <v>31</v>
      </c>
      <c r="T140" t="str">
        <f t="shared" si="20"/>
        <v/>
      </c>
      <c r="U140" s="6" t="str">
        <f t="shared" si="21"/>
        <v>W24</v>
      </c>
      <c r="V140" s="27"/>
      <c r="W140" s="27">
        <f t="shared" si="24"/>
        <v>6596933.8770000003</v>
      </c>
      <c r="X140" s="30"/>
      <c r="Y140" s="30">
        <f t="shared" si="25"/>
        <v>7.5322871089010914E-4</v>
      </c>
      <c r="Z140" s="45">
        <f t="shared" si="26"/>
        <v>7.6262701639930345E-4</v>
      </c>
      <c r="AB140" s="27">
        <f t="shared" si="27"/>
        <v>4969</v>
      </c>
      <c r="AC140" s="27">
        <f t="shared" si="23"/>
        <v>5031</v>
      </c>
      <c r="AE140" s="6"/>
    </row>
    <row r="141" spans="11:31" x14ac:dyDescent="0.3">
      <c r="K141" t="s">
        <v>277</v>
      </c>
      <c r="L141" s="5">
        <v>6354802.1365</v>
      </c>
      <c r="M141">
        <v>5157</v>
      </c>
      <c r="N141" s="4">
        <v>5008</v>
      </c>
      <c r="O141" s="48">
        <v>8.11512284604E-4</v>
      </c>
      <c r="S141" s="6">
        <f t="shared" si="22"/>
        <v>32</v>
      </c>
      <c r="T141" t="str">
        <f t="shared" ref="T141:T168" si="28">IF(J141=0,"",J141)</f>
        <v/>
      </c>
      <c r="U141" s="6" t="str">
        <f t="shared" ref="U141:U168" si="29">RIGHT(K141,3)</f>
        <v>W25</v>
      </c>
      <c r="V141" s="27"/>
      <c r="W141" s="27">
        <f t="shared" si="24"/>
        <v>6354802.1365</v>
      </c>
      <c r="X141" s="30"/>
      <c r="Y141" s="30">
        <f t="shared" si="25"/>
        <v>8.1151228460439411E-4</v>
      </c>
      <c r="Z141" s="45">
        <f t="shared" si="26"/>
        <v>8.2268493773740017E-4</v>
      </c>
      <c r="AB141" s="27">
        <f t="shared" si="27"/>
        <v>5157</v>
      </c>
      <c r="AC141" s="27">
        <f t="shared" si="23"/>
        <v>5228</v>
      </c>
      <c r="AE141" s="6"/>
    </row>
    <row r="142" spans="11:31" x14ac:dyDescent="0.3">
      <c r="K142" t="s">
        <v>278</v>
      </c>
      <c r="L142" s="5">
        <v>5596078.0040999996</v>
      </c>
      <c r="M142">
        <v>3817</v>
      </c>
      <c r="N142" s="4">
        <v>3771</v>
      </c>
      <c r="O142" s="48">
        <v>6.8208484535100004E-4</v>
      </c>
      <c r="S142" s="6">
        <f t="shared" ref="S142:S168" si="30">S141+1</f>
        <v>33</v>
      </c>
      <c r="T142" t="str">
        <f t="shared" si="28"/>
        <v/>
      </c>
      <c r="U142" s="6" t="str">
        <f t="shared" si="29"/>
        <v>W26</v>
      </c>
      <c r="V142" s="27"/>
      <c r="W142" s="27">
        <f t="shared" si="24"/>
        <v>5596078.0040999996</v>
      </c>
      <c r="X142" s="30"/>
      <c r="Y142" s="30">
        <f t="shared" si="25"/>
        <v>6.8208484535123575E-4</v>
      </c>
      <c r="Z142" s="45">
        <f t="shared" si="26"/>
        <v>6.9227055040363829E-4</v>
      </c>
      <c r="AB142" s="27">
        <f t="shared" si="27"/>
        <v>3817</v>
      </c>
      <c r="AC142" s="27">
        <f t="shared" ref="AC142:AC168" si="31">ROUND(M142*($S$106-((($S$106-$S$107)/$S$108)*(S142-0))),0)</f>
        <v>3874</v>
      </c>
      <c r="AE142" s="6"/>
    </row>
    <row r="143" spans="11:31" x14ac:dyDescent="0.3">
      <c r="K143" t="s">
        <v>279</v>
      </c>
      <c r="L143" s="5">
        <v>6165943.7615999999</v>
      </c>
      <c r="M143">
        <v>6319</v>
      </c>
      <c r="N143" s="4">
        <v>6478</v>
      </c>
      <c r="O143" s="48">
        <v>1.0248228404799999E-3</v>
      </c>
      <c r="S143" s="6">
        <f t="shared" si="30"/>
        <v>34</v>
      </c>
      <c r="T143" t="str">
        <f t="shared" si="28"/>
        <v/>
      </c>
      <c r="U143" s="6" t="str">
        <f t="shared" si="29"/>
        <v>W27</v>
      </c>
      <c r="V143" s="27"/>
      <c r="W143" s="27">
        <f t="shared" si="24"/>
        <v>6165943.7615999999</v>
      </c>
      <c r="X143" s="30"/>
      <c r="Y143" s="30">
        <f t="shared" si="25"/>
        <v>1.0248228404795381E-3</v>
      </c>
      <c r="Z143" s="45">
        <f t="shared" si="26"/>
        <v>1.0415275014337068E-3</v>
      </c>
      <c r="AB143" s="27">
        <f t="shared" si="27"/>
        <v>6319</v>
      </c>
      <c r="AC143" s="27">
        <f t="shared" si="31"/>
        <v>6422</v>
      </c>
      <c r="AE143" s="6"/>
    </row>
    <row r="144" spans="11:31" x14ac:dyDescent="0.3">
      <c r="K144" t="s">
        <v>280</v>
      </c>
      <c r="L144" s="5">
        <v>6604041.7418</v>
      </c>
      <c r="M144">
        <v>5655</v>
      </c>
      <c r="N144" s="4">
        <v>5419</v>
      </c>
      <c r="O144" s="48">
        <v>8.5629380023600002E-4</v>
      </c>
      <c r="S144" s="6">
        <f t="shared" si="30"/>
        <v>35</v>
      </c>
      <c r="T144" t="str">
        <f t="shared" si="28"/>
        <v/>
      </c>
      <c r="U144" s="6" t="str">
        <f t="shared" si="29"/>
        <v>W28</v>
      </c>
      <c r="V144" s="27"/>
      <c r="W144" s="27">
        <f t="shared" si="24"/>
        <v>6604041.7418</v>
      </c>
      <c r="X144" s="30"/>
      <c r="Y144" s="30">
        <f t="shared" si="25"/>
        <v>8.5629380023553143E-4</v>
      </c>
      <c r="Z144" s="45">
        <f t="shared" si="26"/>
        <v>8.712846200805036E-4</v>
      </c>
      <c r="AB144" s="27">
        <f t="shared" si="27"/>
        <v>5655</v>
      </c>
      <c r="AC144" s="27">
        <f t="shared" si="31"/>
        <v>5754</v>
      </c>
      <c r="AE144" s="6"/>
    </row>
    <row r="145" spans="11:31" x14ac:dyDescent="0.3">
      <c r="K145" t="s">
        <v>281</v>
      </c>
      <c r="L145" s="5">
        <v>6827841.2194999997</v>
      </c>
      <c r="M145">
        <v>4783</v>
      </c>
      <c r="N145" s="4">
        <v>4553</v>
      </c>
      <c r="O145" s="48">
        <v>7.0051423960199998E-4</v>
      </c>
      <c r="S145" s="6">
        <f t="shared" si="30"/>
        <v>36</v>
      </c>
      <c r="T145" t="str">
        <f t="shared" si="28"/>
        <v/>
      </c>
      <c r="U145" s="6" t="str">
        <f t="shared" si="29"/>
        <v>W29</v>
      </c>
      <c r="V145" s="27"/>
      <c r="W145" s="27">
        <f t="shared" si="24"/>
        <v>6827841.2194999997</v>
      </c>
      <c r="X145" s="30"/>
      <c r="Y145" s="30">
        <f t="shared" si="25"/>
        <v>7.0051423960181913E-4</v>
      </c>
      <c r="Z145" s="45">
        <f t="shared" si="26"/>
        <v>7.1369556545675616E-4</v>
      </c>
      <c r="AB145" s="27">
        <f t="shared" si="27"/>
        <v>4783</v>
      </c>
      <c r="AC145" s="27">
        <f t="shared" si="31"/>
        <v>4873</v>
      </c>
      <c r="AE145" s="6"/>
    </row>
    <row r="146" spans="11:31" x14ac:dyDescent="0.3">
      <c r="K146" t="s">
        <v>282</v>
      </c>
      <c r="L146" s="5">
        <v>6340422.2709999997</v>
      </c>
      <c r="M146">
        <v>1902</v>
      </c>
      <c r="N146" s="4">
        <v>1873</v>
      </c>
      <c r="O146" s="48">
        <v>2.9998002005299999E-4</v>
      </c>
      <c r="S146" s="6">
        <f t="shared" si="30"/>
        <v>37</v>
      </c>
      <c r="T146" t="str">
        <f t="shared" si="28"/>
        <v/>
      </c>
      <c r="U146" s="6" t="str">
        <f t="shared" si="29"/>
        <v>W30</v>
      </c>
      <c r="V146" s="27"/>
      <c r="W146" s="27">
        <f t="shared" si="24"/>
        <v>6340422.2709999997</v>
      </c>
      <c r="X146" s="30"/>
      <c r="Y146" s="30">
        <f t="shared" si="25"/>
        <v>2.9998002005314706E-4</v>
      </c>
      <c r="Z146" s="45">
        <f t="shared" si="26"/>
        <v>3.0597331172613315E-4</v>
      </c>
      <c r="AB146" s="27">
        <f t="shared" si="27"/>
        <v>1902</v>
      </c>
      <c r="AC146" s="27">
        <f t="shared" si="31"/>
        <v>1940</v>
      </c>
      <c r="AE146" s="6"/>
    </row>
    <row r="147" spans="11:31" x14ac:dyDescent="0.3">
      <c r="K147" t="s">
        <v>283</v>
      </c>
      <c r="L147" s="5">
        <v>6256917.2912999997</v>
      </c>
      <c r="M147">
        <v>4014</v>
      </c>
      <c r="N147" s="4">
        <v>4074</v>
      </c>
      <c r="O147" s="48">
        <v>6.4152997604400002E-4</v>
      </c>
      <c r="S147" s="6">
        <f t="shared" si="30"/>
        <v>38</v>
      </c>
      <c r="T147" t="str">
        <f t="shared" si="28"/>
        <v/>
      </c>
      <c r="U147" s="6" t="str">
        <f t="shared" si="29"/>
        <v>W31</v>
      </c>
      <c r="V147" s="27"/>
      <c r="W147" s="27">
        <f t="shared" si="24"/>
        <v>6256917.2912999997</v>
      </c>
      <c r="X147" s="30"/>
      <c r="Y147" s="30">
        <f t="shared" si="25"/>
        <v>6.4152997604448292E-4</v>
      </c>
      <c r="Z147" s="45">
        <f t="shared" si="26"/>
        <v>6.5527476377239165E-4</v>
      </c>
      <c r="AB147" s="27">
        <f t="shared" si="27"/>
        <v>4014</v>
      </c>
      <c r="AC147" s="27">
        <f t="shared" si="31"/>
        <v>4100</v>
      </c>
      <c r="AE147" s="6"/>
    </row>
    <row r="148" spans="11:31" x14ac:dyDescent="0.3">
      <c r="K148" t="s">
        <v>284</v>
      </c>
      <c r="L148" s="5">
        <v>5772969.3476999998</v>
      </c>
      <c r="M148">
        <v>4864</v>
      </c>
      <c r="N148" s="4">
        <v>4988</v>
      </c>
      <c r="O148" s="48">
        <v>8.4254734557699998E-4</v>
      </c>
      <c r="S148" s="6">
        <f t="shared" si="30"/>
        <v>39</v>
      </c>
      <c r="T148" t="str">
        <f t="shared" si="28"/>
        <v/>
      </c>
      <c r="U148" s="6" t="str">
        <f t="shared" si="29"/>
        <v>W32</v>
      </c>
      <c r="V148" s="27"/>
      <c r="W148" s="27">
        <f t="shared" si="24"/>
        <v>5772969.3476999998</v>
      </c>
      <c r="X148" s="30"/>
      <c r="Y148" s="30">
        <f t="shared" si="25"/>
        <v>8.4254734557665011E-4</v>
      </c>
      <c r="Z148" s="45">
        <f t="shared" si="26"/>
        <v>8.6160166465835887E-4</v>
      </c>
      <c r="AB148" s="27">
        <f t="shared" si="27"/>
        <v>4864</v>
      </c>
      <c r="AC148" s="27">
        <f t="shared" si="31"/>
        <v>4974</v>
      </c>
      <c r="AE148" s="6"/>
    </row>
    <row r="149" spans="11:31" x14ac:dyDescent="0.3">
      <c r="K149" t="s">
        <v>285</v>
      </c>
      <c r="L149" s="5">
        <v>5893209.4945</v>
      </c>
      <c r="M149">
        <v>3455</v>
      </c>
      <c r="N149" s="4">
        <v>3610</v>
      </c>
      <c r="O149" s="48">
        <v>5.8626797557800002E-4</v>
      </c>
      <c r="S149" s="6">
        <f t="shared" si="30"/>
        <v>40</v>
      </c>
      <c r="T149" t="str">
        <f t="shared" si="28"/>
        <v/>
      </c>
      <c r="U149" s="6" t="str">
        <f t="shared" si="29"/>
        <v>W33</v>
      </c>
      <c r="V149" s="27"/>
      <c r="W149" s="27">
        <f t="shared" si="24"/>
        <v>5893209.4945</v>
      </c>
      <c r="X149" s="30"/>
      <c r="Y149" s="30">
        <f t="shared" si="25"/>
        <v>5.8626797557841343E-4</v>
      </c>
      <c r="Z149" s="45">
        <f t="shared" si="26"/>
        <v>6.0035198193818425E-4</v>
      </c>
      <c r="AB149" s="27">
        <f t="shared" si="27"/>
        <v>3455</v>
      </c>
      <c r="AC149" s="27">
        <f t="shared" si="31"/>
        <v>3538</v>
      </c>
      <c r="AE149" s="6"/>
    </row>
    <row r="150" spans="11:31" x14ac:dyDescent="0.3">
      <c r="K150" t="s">
        <v>286</v>
      </c>
      <c r="L150" s="5">
        <v>6168252.5977999996</v>
      </c>
      <c r="M150">
        <v>4993</v>
      </c>
      <c r="N150" s="4">
        <v>4819</v>
      </c>
      <c r="O150" s="48">
        <v>8.0946749842600004E-4</v>
      </c>
      <c r="S150" s="6">
        <f t="shared" si="30"/>
        <v>41</v>
      </c>
      <c r="T150" t="str">
        <f t="shared" si="28"/>
        <v/>
      </c>
      <c r="U150" s="6" t="str">
        <f t="shared" si="29"/>
        <v>W34</v>
      </c>
      <c r="V150" s="27"/>
      <c r="W150" s="27">
        <f t="shared" si="24"/>
        <v>6168252.5977999996</v>
      </c>
      <c r="X150" s="30"/>
      <c r="Y150" s="30">
        <f t="shared" si="25"/>
        <v>8.0946749842586354E-4</v>
      </c>
      <c r="Z150" s="45">
        <f t="shared" si="26"/>
        <v>8.2989467743681061E-4</v>
      </c>
      <c r="AB150" s="27">
        <f t="shared" si="27"/>
        <v>4993</v>
      </c>
      <c r="AC150" s="27">
        <f t="shared" si="31"/>
        <v>5119</v>
      </c>
      <c r="AE150" s="6"/>
    </row>
    <row r="151" spans="11:31" x14ac:dyDescent="0.3">
      <c r="K151" t="s">
        <v>287</v>
      </c>
      <c r="L151" s="5">
        <v>6295096.8210000005</v>
      </c>
      <c r="M151">
        <v>5218</v>
      </c>
      <c r="N151" s="4">
        <v>5023</v>
      </c>
      <c r="O151" s="48">
        <v>8.2889908580800005E-4</v>
      </c>
      <c r="S151" s="6">
        <f t="shared" si="30"/>
        <v>42</v>
      </c>
      <c r="T151" t="str">
        <f t="shared" si="28"/>
        <v/>
      </c>
      <c r="U151" s="6" t="str">
        <f t="shared" si="29"/>
        <v>W35</v>
      </c>
      <c r="V151" s="27"/>
      <c r="W151" s="27">
        <f t="shared" si="24"/>
        <v>6295096.8210000005</v>
      </c>
      <c r="X151" s="30"/>
      <c r="Y151" s="30">
        <f t="shared" si="25"/>
        <v>8.2889908580804016E-4</v>
      </c>
      <c r="Z151" s="45">
        <f t="shared" si="26"/>
        <v>8.508209090816142E-4</v>
      </c>
      <c r="AB151" s="27">
        <f t="shared" si="27"/>
        <v>5218</v>
      </c>
      <c r="AC151" s="27">
        <f t="shared" si="31"/>
        <v>5356</v>
      </c>
      <c r="AE151" s="6"/>
    </row>
    <row r="152" spans="11:31" x14ac:dyDescent="0.3">
      <c r="K152" t="s">
        <v>288</v>
      </c>
      <c r="L152" s="5">
        <v>6306092.5930000003</v>
      </c>
      <c r="M152">
        <v>4454</v>
      </c>
      <c r="N152" s="4">
        <v>4328</v>
      </c>
      <c r="O152" s="48">
        <v>7.0630107857000001E-4</v>
      </c>
      <c r="S152" s="6">
        <f t="shared" si="30"/>
        <v>43</v>
      </c>
      <c r="T152" t="str">
        <f t="shared" si="28"/>
        <v/>
      </c>
      <c r="U152" s="6" t="str">
        <f t="shared" si="29"/>
        <v>W36</v>
      </c>
      <c r="V152" s="27"/>
      <c r="W152" s="27">
        <f t="shared" si="24"/>
        <v>6306092.5930000003</v>
      </c>
      <c r="X152" s="30"/>
      <c r="Y152" s="30">
        <f t="shared" si="25"/>
        <v>7.0630107857028732E-4</v>
      </c>
      <c r="Z152" s="45">
        <f t="shared" si="26"/>
        <v>7.2596460208683769E-4</v>
      </c>
      <c r="AB152" s="27">
        <f t="shared" si="27"/>
        <v>4454</v>
      </c>
      <c r="AC152" s="27">
        <f t="shared" si="31"/>
        <v>4578</v>
      </c>
      <c r="AE152" s="6"/>
    </row>
    <row r="153" spans="11:31" x14ac:dyDescent="0.3">
      <c r="K153" t="s">
        <v>289</v>
      </c>
      <c r="L153" s="5">
        <v>5976321.2112999996</v>
      </c>
      <c r="M153">
        <v>3771</v>
      </c>
      <c r="N153" s="4">
        <v>3846</v>
      </c>
      <c r="O153" s="48">
        <v>6.3099018052599997E-4</v>
      </c>
      <c r="S153" s="6">
        <f t="shared" si="30"/>
        <v>44</v>
      </c>
      <c r="T153" t="str">
        <f t="shared" si="28"/>
        <v/>
      </c>
      <c r="U153" s="6" t="str">
        <f t="shared" si="29"/>
        <v>W37</v>
      </c>
      <c r="V153" s="27"/>
      <c r="W153" s="27">
        <f t="shared" si="24"/>
        <v>5976321.2112999996</v>
      </c>
      <c r="X153" s="30"/>
      <c r="Y153" s="30">
        <f t="shared" si="25"/>
        <v>6.3099018052607532E-4</v>
      </c>
      <c r="Z153" s="45">
        <f t="shared" si="26"/>
        <v>6.4922882536228379E-4</v>
      </c>
      <c r="AB153" s="27">
        <f t="shared" si="27"/>
        <v>3771</v>
      </c>
      <c r="AC153" s="27">
        <f t="shared" si="31"/>
        <v>3880</v>
      </c>
      <c r="AE153" s="6"/>
    </row>
    <row r="154" spans="11:31" x14ac:dyDescent="0.3">
      <c r="K154" t="s">
        <v>290</v>
      </c>
      <c r="L154" s="5">
        <v>5762812.5290000001</v>
      </c>
      <c r="M154">
        <v>4666</v>
      </c>
      <c r="N154" s="4">
        <v>4716</v>
      </c>
      <c r="O154" s="48">
        <v>8.0967409169000002E-4</v>
      </c>
      <c r="S154" s="6">
        <f t="shared" si="30"/>
        <v>45</v>
      </c>
      <c r="T154" t="str">
        <f t="shared" si="28"/>
        <v/>
      </c>
      <c r="U154" s="6" t="str">
        <f t="shared" si="29"/>
        <v>W38</v>
      </c>
      <c r="V154" s="27"/>
      <c r="W154" s="27">
        <f t="shared" si="24"/>
        <v>5762812.5290000001</v>
      </c>
      <c r="X154" s="30"/>
      <c r="Y154" s="30">
        <f t="shared" si="25"/>
        <v>8.0967409169037711E-4</v>
      </c>
      <c r="Z154" s="45">
        <f t="shared" si="26"/>
        <v>8.3414131134925903E-4</v>
      </c>
      <c r="AB154" s="27">
        <f t="shared" si="27"/>
        <v>4666</v>
      </c>
      <c r="AC154" s="27">
        <f t="shared" si="31"/>
        <v>4807</v>
      </c>
      <c r="AE154" s="6"/>
    </row>
    <row r="155" spans="11:31" x14ac:dyDescent="0.3">
      <c r="K155" t="s">
        <v>291</v>
      </c>
      <c r="L155" s="5">
        <v>5865979.9389000004</v>
      </c>
      <c r="M155">
        <v>4162</v>
      </c>
      <c r="N155" s="4">
        <v>4265</v>
      </c>
      <c r="O155" s="48">
        <v>7.0951487106200005E-4</v>
      </c>
      <c r="S155" s="6">
        <f t="shared" si="30"/>
        <v>46</v>
      </c>
      <c r="T155" t="str">
        <f t="shared" si="28"/>
        <v/>
      </c>
      <c r="U155" s="6" t="str">
        <f t="shared" si="29"/>
        <v>W39</v>
      </c>
      <c r="V155" s="27"/>
      <c r="W155" s="27">
        <f t="shared" si="24"/>
        <v>5865979.9389000004</v>
      </c>
      <c r="X155" s="30"/>
      <c r="Y155" s="30">
        <f t="shared" si="25"/>
        <v>7.0951487106184446E-4</v>
      </c>
      <c r="Z155" s="45">
        <f t="shared" si="26"/>
        <v>7.3184703062674147E-4</v>
      </c>
      <c r="AB155" s="27">
        <f t="shared" si="27"/>
        <v>4162</v>
      </c>
      <c r="AC155" s="27">
        <f t="shared" si="31"/>
        <v>4293</v>
      </c>
      <c r="AE155" s="6"/>
    </row>
    <row r="156" spans="11:31" x14ac:dyDescent="0.3">
      <c r="K156" t="s">
        <v>292</v>
      </c>
      <c r="L156" s="5">
        <v>5731081.7596000005</v>
      </c>
      <c r="M156">
        <v>5781</v>
      </c>
      <c r="N156" s="4">
        <v>6050</v>
      </c>
      <c r="O156" s="48">
        <v>1.0087100904319999E-3</v>
      </c>
      <c r="S156" s="6">
        <f t="shared" si="30"/>
        <v>47</v>
      </c>
      <c r="T156" t="str">
        <f t="shared" si="28"/>
        <v/>
      </c>
      <c r="U156" s="6" t="str">
        <f t="shared" si="29"/>
        <v>W40</v>
      </c>
      <c r="V156" s="27"/>
      <c r="W156" s="27">
        <f t="shared" si="24"/>
        <v>5731081.7596000005</v>
      </c>
      <c r="X156" s="30"/>
      <c r="Y156" s="30">
        <f t="shared" si="25"/>
        <v>1.0087100904321218E-3</v>
      </c>
      <c r="Z156" s="45">
        <f t="shared" si="26"/>
        <v>1.0418626448659746E-3</v>
      </c>
      <c r="AB156" s="27">
        <f t="shared" si="27"/>
        <v>5781</v>
      </c>
      <c r="AC156" s="27">
        <f t="shared" si="31"/>
        <v>5971</v>
      </c>
      <c r="AE156" s="6"/>
    </row>
    <row r="157" spans="11:31" x14ac:dyDescent="0.3">
      <c r="K157" t="s">
        <v>293</v>
      </c>
      <c r="L157" s="5">
        <v>6263596.3969000001</v>
      </c>
      <c r="M157">
        <v>6156</v>
      </c>
      <c r="N157" s="4">
        <v>5915</v>
      </c>
      <c r="O157" s="48">
        <v>9.8282194603799993E-4</v>
      </c>
      <c r="S157" s="6">
        <f t="shared" si="30"/>
        <v>48</v>
      </c>
      <c r="T157" t="str">
        <f t="shared" si="28"/>
        <v/>
      </c>
      <c r="U157" s="6" t="str">
        <f t="shared" si="29"/>
        <v>W41</v>
      </c>
      <c r="V157" s="27"/>
      <c r="W157" s="27">
        <f t="shared" si="24"/>
        <v>6263596.3969000001</v>
      </c>
      <c r="X157" s="30"/>
      <c r="Y157" s="30">
        <f t="shared" si="25"/>
        <v>9.8282194603834124E-4</v>
      </c>
      <c r="Z157" s="45">
        <f t="shared" si="26"/>
        <v>1.016349010474347E-3</v>
      </c>
      <c r="AB157" s="27">
        <f t="shared" si="27"/>
        <v>6156</v>
      </c>
      <c r="AC157" s="27">
        <f t="shared" si="31"/>
        <v>6366</v>
      </c>
      <c r="AE157" s="6"/>
    </row>
    <row r="158" spans="11:31" x14ac:dyDescent="0.3">
      <c r="K158" t="s">
        <v>294</v>
      </c>
      <c r="L158" s="5">
        <v>5360626.7098000003</v>
      </c>
      <c r="M158">
        <v>4975</v>
      </c>
      <c r="N158" s="4">
        <v>5063</v>
      </c>
      <c r="O158" s="48">
        <v>9.2806312942899998E-4</v>
      </c>
      <c r="S158" s="6">
        <f t="shared" si="30"/>
        <v>49</v>
      </c>
      <c r="T158" t="str">
        <f t="shared" si="28"/>
        <v/>
      </c>
      <c r="U158" s="6" t="str">
        <f t="shared" si="29"/>
        <v>W42</v>
      </c>
      <c r="V158" s="27"/>
      <c r="W158" s="27">
        <f t="shared" si="24"/>
        <v>5360626.7098000003</v>
      </c>
      <c r="X158" s="30"/>
      <c r="Y158" s="30">
        <f t="shared" si="25"/>
        <v>9.2806312942943421E-4</v>
      </c>
      <c r="Z158" s="45">
        <f t="shared" si="26"/>
        <v>9.6089511149568163E-4</v>
      </c>
      <c r="AB158" s="27">
        <f t="shared" si="27"/>
        <v>4975</v>
      </c>
      <c r="AC158" s="27">
        <f t="shared" si="31"/>
        <v>5151</v>
      </c>
      <c r="AE158" s="6"/>
    </row>
    <row r="159" spans="11:31" x14ac:dyDescent="0.3">
      <c r="K159" t="s">
        <v>295</v>
      </c>
      <c r="L159" s="5">
        <v>5963112.3712999998</v>
      </c>
      <c r="M159">
        <v>4895</v>
      </c>
      <c r="N159" s="4">
        <v>5119</v>
      </c>
      <c r="O159" s="48">
        <v>8.2088005310100001E-4</v>
      </c>
      <c r="S159" s="6">
        <f t="shared" si="30"/>
        <v>50</v>
      </c>
      <c r="T159" t="str">
        <f t="shared" si="28"/>
        <v/>
      </c>
      <c r="U159" s="6" t="str">
        <f t="shared" si="29"/>
        <v>W43</v>
      </c>
      <c r="V159" s="27"/>
      <c r="W159" s="27">
        <f t="shared" si="24"/>
        <v>5963112.3712999998</v>
      </c>
      <c r="X159" s="30"/>
      <c r="Y159" s="30">
        <f t="shared" si="25"/>
        <v>8.2088005310100435E-4</v>
      </c>
      <c r="Z159" s="45">
        <f t="shared" si="26"/>
        <v>8.5089793451164372E-4</v>
      </c>
      <c r="AB159" s="27">
        <f t="shared" si="27"/>
        <v>4895</v>
      </c>
      <c r="AC159" s="27">
        <f t="shared" si="31"/>
        <v>5074</v>
      </c>
      <c r="AE159" s="6"/>
    </row>
    <row r="160" spans="11:31" x14ac:dyDescent="0.3">
      <c r="K160" t="s">
        <v>296</v>
      </c>
      <c r="L160" s="5">
        <v>6203543.2078</v>
      </c>
      <c r="M160">
        <v>3788</v>
      </c>
      <c r="N160" s="4">
        <v>3627</v>
      </c>
      <c r="O160" s="48">
        <v>6.1061878238199995E-4</v>
      </c>
      <c r="S160" s="6">
        <f t="shared" si="30"/>
        <v>51</v>
      </c>
      <c r="T160" t="str">
        <f t="shared" si="28"/>
        <v/>
      </c>
      <c r="U160" s="6" t="str">
        <f t="shared" si="29"/>
        <v>W44</v>
      </c>
      <c r="V160" s="27"/>
      <c r="W160" s="27">
        <f t="shared" si="24"/>
        <v>6203543.2078</v>
      </c>
      <c r="X160" s="30"/>
      <c r="Y160" s="30">
        <f t="shared" si="25"/>
        <v>6.1061878238184491E-4</v>
      </c>
      <c r="Z160" s="45">
        <f t="shared" si="26"/>
        <v>6.3383132321156652E-4</v>
      </c>
      <c r="AB160" s="27">
        <f t="shared" si="27"/>
        <v>3788</v>
      </c>
      <c r="AC160" s="27">
        <f t="shared" si="31"/>
        <v>3932</v>
      </c>
      <c r="AE160" s="6"/>
    </row>
    <row r="161" spans="11:32" x14ac:dyDescent="0.3">
      <c r="K161" t="s">
        <v>297</v>
      </c>
      <c r="L161" s="5">
        <v>6526512.7152000004</v>
      </c>
      <c r="M161">
        <v>6159</v>
      </c>
      <c r="N161" s="4">
        <v>6276</v>
      </c>
      <c r="O161" s="48">
        <v>9.4368926695800003E-4</v>
      </c>
      <c r="S161" s="6">
        <f t="shared" si="30"/>
        <v>52</v>
      </c>
      <c r="T161" t="str">
        <f t="shared" si="28"/>
        <v/>
      </c>
      <c r="U161" s="6" t="str">
        <f t="shared" si="29"/>
        <v>W45</v>
      </c>
      <c r="V161" s="27"/>
      <c r="W161" s="27">
        <f t="shared" si="24"/>
        <v>6526512.7152000004</v>
      </c>
      <c r="X161" s="30"/>
      <c r="Y161" s="30">
        <f t="shared" si="25"/>
        <v>9.4368926695812948E-4</v>
      </c>
      <c r="Z161" s="45">
        <f t="shared" si="26"/>
        <v>9.8061557209482529E-4</v>
      </c>
      <c r="AB161" s="27">
        <f t="shared" si="27"/>
        <v>6159</v>
      </c>
      <c r="AC161" s="27">
        <f t="shared" si="31"/>
        <v>6400</v>
      </c>
      <c r="AE161" s="6"/>
    </row>
    <row r="162" spans="11:32" x14ac:dyDescent="0.3">
      <c r="K162" t="s">
        <v>298</v>
      </c>
      <c r="L162" s="5">
        <v>6082288.2516000001</v>
      </c>
      <c r="M162">
        <v>4571</v>
      </c>
      <c r="N162" s="4">
        <v>4696</v>
      </c>
      <c r="O162" s="48">
        <v>7.5152636818800003E-4</v>
      </c>
      <c r="S162" s="6">
        <f t="shared" si="30"/>
        <v>53</v>
      </c>
      <c r="T162" t="str">
        <f t="shared" si="28"/>
        <v/>
      </c>
      <c r="U162" s="6" t="str">
        <f t="shared" si="29"/>
        <v>W46</v>
      </c>
      <c r="V162" s="27"/>
      <c r="W162" s="27">
        <f t="shared" si="24"/>
        <v>6082288.2516000001</v>
      </c>
      <c r="X162" s="30"/>
      <c r="Y162" s="30">
        <f t="shared" si="25"/>
        <v>7.5152636818841289E-4</v>
      </c>
      <c r="Z162" s="45">
        <f t="shared" si="26"/>
        <v>7.8194255241830933E-4</v>
      </c>
      <c r="AB162" s="27">
        <f t="shared" si="27"/>
        <v>4571</v>
      </c>
      <c r="AC162" s="27">
        <f t="shared" si="31"/>
        <v>4756</v>
      </c>
      <c r="AE162" s="6"/>
    </row>
    <row r="163" spans="11:32" x14ac:dyDescent="0.3">
      <c r="K163" t="s">
        <v>299</v>
      </c>
      <c r="L163" s="5">
        <v>6356139.4104000004</v>
      </c>
      <c r="M163">
        <v>4768</v>
      </c>
      <c r="N163" s="4">
        <v>4935</v>
      </c>
      <c r="O163" s="48">
        <v>7.5014087831299996E-4</v>
      </c>
      <c r="S163" s="6">
        <f t="shared" si="30"/>
        <v>54</v>
      </c>
      <c r="T163" t="str">
        <f t="shared" si="28"/>
        <v/>
      </c>
      <c r="U163" s="6" t="str">
        <f t="shared" si="29"/>
        <v>W47</v>
      </c>
      <c r="V163" s="27"/>
      <c r="W163" s="27">
        <f t="shared" si="24"/>
        <v>6356139.4104000004</v>
      </c>
      <c r="X163" s="30"/>
      <c r="Y163" s="30">
        <f t="shared" si="25"/>
        <v>7.5014087831341998E-4</v>
      </c>
      <c r="Z163" s="45">
        <f t="shared" si="26"/>
        <v>7.814491909779273E-4</v>
      </c>
      <c r="AB163" s="27">
        <f t="shared" si="27"/>
        <v>4768</v>
      </c>
      <c r="AC163" s="27">
        <f t="shared" si="31"/>
        <v>4967</v>
      </c>
      <c r="AE163" s="6"/>
    </row>
    <row r="164" spans="11:32" x14ac:dyDescent="0.3">
      <c r="K164" t="s">
        <v>300</v>
      </c>
      <c r="L164" s="5">
        <v>5928010.5613000002</v>
      </c>
      <c r="M164">
        <v>4378</v>
      </c>
      <c r="N164" s="4">
        <v>4590</v>
      </c>
      <c r="O164" s="48">
        <v>7.3852769908699998E-4</v>
      </c>
      <c r="S164" s="6">
        <f t="shared" si="30"/>
        <v>55</v>
      </c>
      <c r="T164" t="str">
        <f t="shared" si="28"/>
        <v/>
      </c>
      <c r="U164" s="6" t="str">
        <f t="shared" si="29"/>
        <v>W48</v>
      </c>
      <c r="V164" s="27"/>
      <c r="W164" s="27">
        <f t="shared" si="24"/>
        <v>5928010.5613000002</v>
      </c>
      <c r="X164" s="30"/>
      <c r="Y164" s="30">
        <f t="shared" si="25"/>
        <v>7.3852769908694523E-4</v>
      </c>
      <c r="Z164" s="45">
        <f t="shared" si="26"/>
        <v>7.7024154272064692E-4</v>
      </c>
      <c r="AB164" s="27">
        <f t="shared" si="27"/>
        <v>4378</v>
      </c>
      <c r="AC164" s="27">
        <f t="shared" si="31"/>
        <v>4566</v>
      </c>
      <c r="AE164" s="6"/>
    </row>
    <row r="165" spans="11:32" x14ac:dyDescent="0.3">
      <c r="K165" t="s">
        <v>301</v>
      </c>
      <c r="L165" s="5">
        <v>5791160.9561999999</v>
      </c>
      <c r="M165">
        <v>4373</v>
      </c>
      <c r="N165" s="4">
        <v>4497</v>
      </c>
      <c r="O165" s="48">
        <v>7.5511629413799999E-4</v>
      </c>
      <c r="S165" s="6">
        <f t="shared" si="30"/>
        <v>56</v>
      </c>
      <c r="T165" t="str">
        <f t="shared" si="28"/>
        <v/>
      </c>
      <c r="U165" s="6" t="str">
        <f t="shared" si="29"/>
        <v>W49</v>
      </c>
      <c r="V165" s="27"/>
      <c r="W165" s="27">
        <f t="shared" si="24"/>
        <v>5791160.9561999999</v>
      </c>
      <c r="X165" s="30"/>
      <c r="Y165" s="30">
        <f t="shared" si="25"/>
        <v>7.5511629413758203E-4</v>
      </c>
      <c r="Z165" s="45">
        <f t="shared" si="26"/>
        <v>7.8844294512513135E-4</v>
      </c>
      <c r="AB165" s="27">
        <f t="shared" si="27"/>
        <v>4373</v>
      </c>
      <c r="AC165" s="27">
        <f t="shared" si="31"/>
        <v>4566</v>
      </c>
      <c r="AE165" s="6"/>
    </row>
    <row r="166" spans="11:32" x14ac:dyDescent="0.3">
      <c r="K166" t="s">
        <v>302</v>
      </c>
      <c r="L166" s="5">
        <v>5820932.7449000003</v>
      </c>
      <c r="M166">
        <v>4127</v>
      </c>
      <c r="N166" s="4">
        <v>4074</v>
      </c>
      <c r="O166" s="48">
        <v>7.0899290214499996E-4</v>
      </c>
      <c r="S166" s="6">
        <f t="shared" si="30"/>
        <v>57</v>
      </c>
      <c r="T166" t="str">
        <f t="shared" si="28"/>
        <v/>
      </c>
      <c r="U166" s="6" t="str">
        <f t="shared" si="29"/>
        <v>W50</v>
      </c>
      <c r="V166" s="27"/>
      <c r="W166" s="27">
        <f t="shared" si="24"/>
        <v>5820932.7449000003</v>
      </c>
      <c r="X166" s="30"/>
      <c r="Y166" s="30">
        <f t="shared" si="25"/>
        <v>7.0899290214542735E-4</v>
      </c>
      <c r="Z166" s="45">
        <f t="shared" si="26"/>
        <v>7.4129013151381614E-4</v>
      </c>
      <c r="AB166" s="27">
        <f t="shared" si="27"/>
        <v>4127</v>
      </c>
      <c r="AC166" s="27">
        <f t="shared" si="31"/>
        <v>4315</v>
      </c>
      <c r="AE166" s="6"/>
    </row>
    <row r="167" spans="11:32" x14ac:dyDescent="0.3">
      <c r="K167" t="s">
        <v>303</v>
      </c>
      <c r="L167" s="5">
        <v>6490259.2638999997</v>
      </c>
      <c r="M167">
        <v>6036</v>
      </c>
      <c r="N167" s="4">
        <v>6040</v>
      </c>
      <c r="O167" s="48">
        <v>9.30009072761E-4</v>
      </c>
      <c r="S167" s="6">
        <f t="shared" si="30"/>
        <v>58</v>
      </c>
      <c r="T167" t="str">
        <f t="shared" si="28"/>
        <v/>
      </c>
      <c r="U167" s="6" t="str">
        <f t="shared" si="29"/>
        <v>W51</v>
      </c>
      <c r="V167" s="27"/>
      <c r="W167" s="27">
        <f t="shared" si="24"/>
        <v>6490259.2638999997</v>
      </c>
      <c r="X167" s="30"/>
      <c r="Y167" s="30">
        <f t="shared" si="25"/>
        <v>9.3000907276128829E-4</v>
      </c>
      <c r="Z167" s="45">
        <f t="shared" si="26"/>
        <v>9.7345880081276003E-4</v>
      </c>
      <c r="AB167" s="27">
        <f t="shared" si="27"/>
        <v>6036</v>
      </c>
      <c r="AC167" s="27">
        <f t="shared" si="31"/>
        <v>6318</v>
      </c>
      <c r="AE167" s="6"/>
    </row>
    <row r="168" spans="11:32" x14ac:dyDescent="0.3">
      <c r="K168" t="s">
        <v>304</v>
      </c>
      <c r="L168" s="5">
        <v>6325754.0972999996</v>
      </c>
      <c r="M168">
        <v>4059</v>
      </c>
      <c r="N168" s="4">
        <v>4190</v>
      </c>
      <c r="O168" s="48">
        <v>6.4166262829200001E-4</v>
      </c>
      <c r="S168" s="6">
        <f t="shared" si="30"/>
        <v>59</v>
      </c>
      <c r="T168" t="str">
        <f t="shared" si="28"/>
        <v/>
      </c>
      <c r="U168" s="6" t="str">
        <f t="shared" si="29"/>
        <v>W52</v>
      </c>
      <c r="V168" s="27"/>
      <c r="W168" s="27">
        <f t="shared" si="24"/>
        <v>6325754.0972999996</v>
      </c>
      <c r="X168" s="30"/>
      <c r="Y168" s="30">
        <f t="shared" si="25"/>
        <v>6.4166262829161967E-4</v>
      </c>
      <c r="Z168" s="45">
        <f t="shared" si="26"/>
        <v>6.7248899254805379E-4</v>
      </c>
      <c r="AB168" s="27">
        <f t="shared" si="27"/>
        <v>4059</v>
      </c>
      <c r="AC168" s="27">
        <f t="shared" si="31"/>
        <v>4254</v>
      </c>
      <c r="AE168" s="6"/>
    </row>
    <row r="169" spans="11:32" x14ac:dyDescent="0.3">
      <c r="S169" s="6"/>
      <c r="AF16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 Nair</cp:lastModifiedBy>
  <dcterms:created xsi:type="dcterms:W3CDTF">2026-07-16T13:34:02Z</dcterms:created>
  <dcterms:modified xsi:type="dcterms:W3CDTF">2026-07-20T13:15:25Z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2026-07-16T13:34:19Z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ca7c6e86-aea8-4817-a866-8b1e0a34f422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10, 0, 1, 2</vt:lpwstr>
  </property>
</Properties>
</file>