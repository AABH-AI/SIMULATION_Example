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pos\#Git\SIMULATION_Example\forecast_copilot\input\"/>
    </mc:Choice>
  </mc:AlternateContent>
  <xr:revisionPtr revIDLastSave="0" documentId="13_ncr:1_{A6FE06B0-B45D-473F-8278-759E9E6BA60F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Y26 Official" sheetId="1" r:id="rId1"/>
    <sheet name="Product Estimates" sheetId="2" r:id="rId2"/>
    <sheet name="Product x Quarter" sheetId="3" r:id="rId3"/>
    <sheet name="Warranty Assumptions" sheetId="4" r:id="rId4"/>
    <sheet name="ASU by Product" sheetId="5" r:id="rId5"/>
  </sheets>
  <definedNames>
    <definedName name="_xlnm._FilterDatabase" localSheetId="4" hidden="1">'ASU by Product'!$A$1:$W$157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4" l="1"/>
  <c r="C16" i="3"/>
  <c r="C15" i="3"/>
  <c r="C14" i="3"/>
  <c r="C13" i="3"/>
  <c r="C12" i="3"/>
  <c r="C11" i="3"/>
  <c r="C10" i="3"/>
  <c r="O9" i="3"/>
  <c r="N9" i="3"/>
  <c r="M9" i="3"/>
  <c r="L9" i="3"/>
  <c r="K9" i="3"/>
  <c r="C9" i="3"/>
  <c r="O8" i="3"/>
  <c r="N8" i="3"/>
  <c r="L8" i="3"/>
  <c r="K8" i="3"/>
  <c r="C8" i="3"/>
  <c r="O7" i="3"/>
  <c r="M7" i="3"/>
  <c r="M8" i="3" s="1"/>
  <c r="C7" i="3"/>
  <c r="N6" i="3"/>
  <c r="G18" i="3" s="1"/>
  <c r="M6" i="3"/>
  <c r="F18" i="3" s="1"/>
  <c r="L6" i="3"/>
  <c r="E18" i="3" s="1"/>
  <c r="K6" i="3"/>
  <c r="D18" i="3" s="1"/>
  <c r="C6" i="3"/>
  <c r="D22" i="2"/>
  <c r="D21" i="2"/>
  <c r="I7" i="2"/>
  <c r="I6" i="2"/>
  <c r="E7" i="2" s="1"/>
  <c r="E6" i="2"/>
  <c r="I5" i="2"/>
  <c r="E5" i="2"/>
  <c r="C20" i="1"/>
  <c r="B20" i="1"/>
  <c r="D19" i="1"/>
  <c r="D18" i="1"/>
  <c r="D17" i="1"/>
  <c r="D16" i="1"/>
  <c r="D20" i="1" s="1"/>
  <c r="E11" i="1"/>
  <c r="E9" i="1"/>
  <c r="D8" i="1"/>
  <c r="D10" i="1" s="1"/>
  <c r="C8" i="1"/>
  <c r="C10" i="1" s="1"/>
  <c r="B8" i="1"/>
  <c r="E7" i="1"/>
  <c r="E6" i="1"/>
  <c r="E16" i="3" l="1"/>
  <c r="G16" i="3"/>
  <c r="F16" i="3"/>
  <c r="D16" i="3"/>
  <c r="H16" i="3" s="1"/>
  <c r="G15" i="3"/>
  <c r="E15" i="3"/>
  <c r="D15" i="3"/>
  <c r="H15" i="3" s="1"/>
  <c r="F15" i="3"/>
  <c r="D14" i="3"/>
  <c r="F14" i="3"/>
  <c r="G14" i="3"/>
  <c r="E14" i="3"/>
  <c r="G13" i="3"/>
  <c r="E13" i="3"/>
  <c r="D13" i="3"/>
  <c r="F13" i="3"/>
  <c r="D12" i="3"/>
  <c r="H12" i="3" s="1"/>
  <c r="E12" i="3"/>
  <c r="G12" i="3"/>
  <c r="F12" i="3"/>
  <c r="E11" i="3"/>
  <c r="G11" i="3"/>
  <c r="F11" i="3"/>
  <c r="D11" i="3"/>
  <c r="H11" i="3" s="1"/>
  <c r="E10" i="3"/>
  <c r="G10" i="3"/>
  <c r="F10" i="3"/>
  <c r="D10" i="3"/>
  <c r="H10" i="3" s="1"/>
  <c r="D9" i="3"/>
  <c r="E9" i="3"/>
  <c r="G9" i="3"/>
  <c r="F9" i="3"/>
  <c r="G8" i="3"/>
  <c r="D8" i="3"/>
  <c r="E8" i="3"/>
  <c r="F8" i="3"/>
  <c r="F7" i="3"/>
  <c r="G7" i="3"/>
  <c r="E7" i="3"/>
  <c r="D7" i="3"/>
  <c r="H7" i="3" s="1"/>
  <c r="D6" i="3"/>
  <c r="E6" i="3"/>
  <c r="F6" i="3"/>
  <c r="G6" i="3"/>
  <c r="E14" i="2"/>
  <c r="E15" i="2"/>
  <c r="E8" i="2"/>
  <c r="E9" i="2"/>
  <c r="E10" i="2"/>
  <c r="E11" i="2"/>
  <c r="E12" i="2"/>
  <c r="E13" i="2"/>
  <c r="E8" i="1"/>
  <c r="B10" i="1"/>
  <c r="O6" i="3"/>
  <c r="H6" i="3" l="1"/>
  <c r="D17" i="3"/>
  <c r="E10" i="1"/>
  <c r="E17" i="2"/>
  <c r="H18" i="3"/>
  <c r="H9" i="3"/>
  <c r="H8" i="3"/>
  <c r="E17" i="3"/>
  <c r="F17" i="3"/>
  <c r="G17" i="3"/>
  <c r="E16" i="2"/>
  <c r="E18" i="2" s="1"/>
  <c r="H14" i="3"/>
  <c r="H13" i="3"/>
  <c r="H17" i="3" l="1"/>
</calcChain>
</file>

<file path=xl/sharedStrings.xml><?xml version="1.0" encoding="utf-8"?>
<sst xmlns="http://schemas.openxmlformats.org/spreadsheetml/2006/main" count="690" uniqueCount="301">
  <si>
    <t>Dell ISG — Official Reported Figures, FY2026 (Feb 2025 – Jan 2026), $ millions</t>
  </si>
  <si>
    <t>Source: Dell Technologies Form 10-K, fiscal year ended Jan 30, 2026 (SEC EDGAR: sec.gov/Archives/edgar/data/1571996/000157199626000008/dell-20260130.htm)</t>
  </si>
  <si>
    <t>Category</t>
  </si>
  <si>
    <t>FY2026</t>
  </si>
  <si>
    <t>FY2025</t>
  </si>
  <si>
    <t>FY2024</t>
  </si>
  <si>
    <t>YoY % (FY26)</t>
  </si>
  <si>
    <t>AI-optimized servers</t>
  </si>
  <si>
    <t>Traditional servers and networking</t>
  </si>
  <si>
    <t>Servers and networking (subtotal)</t>
  </si>
  <si>
    <t>Storage</t>
  </si>
  <si>
    <t>Total ISG net revenue</t>
  </si>
  <si>
    <t>ISG operating income</t>
  </si>
  <si>
    <t>Quarterly ISG revenue, FY2026 ($M) — as reported</t>
  </si>
  <si>
    <t>Quarter</t>
  </si>
  <si>
    <t>Servers &amp; Networking</t>
  </si>
  <si>
    <t>Total ISG</t>
  </si>
  <si>
    <t>Q1 FY26</t>
  </si>
  <si>
    <t>Q2 FY26</t>
  </si>
  <si>
    <t>Q3 FY26</t>
  </si>
  <si>
    <t>Q4 FY26</t>
  </si>
  <si>
    <t>FY26 Total</t>
  </si>
  <si>
    <t>Note: Q1–Q3 quarterly splits are as reported in Dell earnings releases; Q4 derived as FY total minus Q1–Q3 (matches reported ~$19.6B ISG Q4: $14.9B S&amp;N incl. $9.0B AI servers + $5.9B traditional, $4.8B storage). Minor rounding vs. press figures.</t>
  </si>
  <si>
    <t>Dell ISG — Product-Level Revenue Estimates, FY2026 ($ millions)</t>
  </si>
  <si>
    <t>MODELED ESTIMATES. Dell does not disclose per-product revenue. Segment totals (green links) are official 10-K figures; mix % (blue, yellow fill) are rough assumptions from analyst commentary and market positioning — edit them as needed. Product revenue recalculates automatically.</t>
  </si>
  <si>
    <t>Product</t>
  </si>
  <si>
    <t>Segment</t>
  </si>
  <si>
    <t>Est. mix % of segment</t>
  </si>
  <si>
    <t>Est. FY26 revenue ($M)</t>
  </si>
  <si>
    <t>Basis of estimate</t>
  </si>
  <si>
    <t>Segment totals (from FY26 Official)</t>
  </si>
  <si>
    <t>PowerEdge XE-series &amp; IR rack-scale (AI-optimized servers)</t>
  </si>
  <si>
    <t>AI servers</t>
  </si>
  <si>
    <t>Officially reported: AI-optimized servers = $24,683M (10-K)</t>
  </si>
  <si>
    <t>PowerEdge (traditional rack/tower/modular servers)</t>
  </si>
  <si>
    <t>Traditional servers</t>
  </si>
  <si>
    <t>Assumption: servers ~88% of traditional S&amp;N line; networking is a small share of the combined line</t>
  </si>
  <si>
    <t>Traditional servers &amp; networking</t>
  </si>
  <si>
    <t>PowerSwitch, cables &amp; optics (networking)</t>
  </si>
  <si>
    <t>Networking</t>
  </si>
  <si>
    <t>Assumption: networking ~12% of traditional S&amp;N line</t>
  </si>
  <si>
    <t>PowerStore (midrange primary storage)</t>
  </si>
  <si>
    <t>Primary storage</t>
  </si>
  <si>
    <t>Assumption: flagship midrange line; repeatedly called out by Dell as a growth driver; midrange is the largest external-storage segment</t>
  </si>
  <si>
    <t>PowerMax (high-end primary storage)</t>
  </si>
  <si>
    <t>Assumption: IDC #1 in high-end; smaller unit volume, high ASP</t>
  </si>
  <si>
    <t>PowerScale / Isilon (file &amp; unstructured)</t>
  </si>
  <si>
    <t>Unstructured</t>
  </si>
  <si>
    <t>Assumption: IDC #1 unstructured; boosted by AI data-lake demand</t>
  </si>
  <si>
    <t>PowerProtect / Data Domain (data protection appliances &amp; software)</t>
  </si>
  <si>
    <t>Data protection</t>
  </si>
  <si>
    <t>Assumption: IDC #1 purpose-built backup appliances; large installed base</t>
  </si>
  <si>
    <t>VxRail (hyperconverged infrastructure)</t>
  </si>
  <si>
    <t>HCI</t>
  </si>
  <si>
    <t>Assumption: leading HCI platform; VMware-dependent, roughly flat</t>
  </si>
  <si>
    <t>PowerFlex (software-defined block)</t>
  </si>
  <si>
    <t>Software-defined</t>
  </si>
  <si>
    <t>Assumption: strong growth off a smaller base; favored in large scale-out deals</t>
  </si>
  <si>
    <t>PowerVault (entry storage)</t>
  </si>
  <si>
    <t>Entry</t>
  </si>
  <si>
    <t>Assumption: entry-level ME5 line; low ASP, channel-led</t>
  </si>
  <si>
    <t>ObjectScale/ECS, Unity XT legacy, storage software &amp; other</t>
  </si>
  <si>
    <t>Other storage</t>
  </si>
  <si>
    <t>Residual: balance of storage segment (object, legacy midrange, software)</t>
  </si>
  <si>
    <t>Total ISG (check)</t>
  </si>
  <si>
    <t>Reported ISG total</t>
  </si>
  <si>
    <t>Difference</t>
  </si>
  <si>
    <t>Mix checks (must equal 100% per segment):</t>
  </si>
  <si>
    <t>Traditional S&amp;N mix total</t>
  </si>
  <si>
    <t>Storage mix total</t>
  </si>
  <si>
    <t>Legend: blue + yellow = editable assumption · green = link to FY26 Official sheet · black = formula. Edit only yellow cells.</t>
  </si>
  <si>
    <t>Dell ISG — Estimated Product Revenue by Quarter, FY2026 ($ millions)</t>
  </si>
  <si>
    <t>MODELED. Segment-by-quarter figures (block at right, cols J:O) are official/derived; product split applies the mix % assumptions from the Product Estimates tab uniformly across quarters. Edit mix % there and this tab recalculates.</t>
  </si>
  <si>
    <t>Segment revenue by quarter ($M)</t>
  </si>
  <si>
    <t>Mix %</t>
  </si>
  <si>
    <t>Q1</t>
  </si>
  <si>
    <t>Q2</t>
  </si>
  <si>
    <t>Q3</t>
  </si>
  <si>
    <t>Q4</t>
  </si>
  <si>
    <t>FY26</t>
  </si>
  <si>
    <t>Servers &amp; Networking (reported)</t>
  </si>
  <si>
    <t>Storage (reported)</t>
  </si>
  <si>
    <t>Notes: Q2 AI = $8.2B shipped (earnings); Q4 AI = $9.0B (reported); Q1 AI ≈ $1.88B (derived: Q1 FY27 AI rev $16.13B was +757% YoY);</t>
  </si>
  <si>
    <t>Q3 AI = residual so quarters tie to FY26 reported total $24,683M (≈$5.6B). All other cells reported or formula.</t>
  </si>
  <si>
    <t>Reported ISG quarterly total (check)</t>
  </si>
  <si>
    <t>Legend: green = link to other tab / reported figure · blue = hardcoded input (see notes, cols J11:J12) · black = formula. Edit mix % on the Product Estimates tab only.</t>
  </si>
  <si>
    <t>Warranty / Service Model — Assumptions</t>
  </si>
  <si>
    <t>Dataset: 3 FYs × 52 weeks × 19 products (top sellers across ISG + legacy ESG/EMC lines) = 2,964 rows. Provided new-contract counts = FY26 annual volume; FY24/FY25 scaled by category growth. ASU (single column) = units under active warranty EOW + new attaches + renewals. Expirations = installed base entering FY ÷ 156 wks; renewals = expirations × renewal rate. New attaches = 98% of new contracts. Warranty tiers: Basic / ProSupport / ProSupport Plus / ProSupport Flex. Random per-row (seed 42): Region &amp; Warranty Type per category weights below · Core/Upsell 50/50 · W/O Type: Break fix 30 / Part-s dispatch 70 · FQM Flag: 0=30 / 1=70 · GCFA: 15/75/10 (GCFA/non-GCFA/Unknown) · Service Type: Parts Only 30 / Labour Only 30 / Parts+Labour 40, Labour Only only against Break fix rows.</t>
  </si>
  <si>
    <t>Growth FY24</t>
  </si>
  <si>
    <t>Growth FY25</t>
  </si>
  <si>
    <t>Growth FY26</t>
  </si>
  <si>
    <t>Renewal rate</t>
  </si>
  <si>
    <t>Start base (x FY24 new)</t>
  </si>
  <si>
    <t>Amer %</t>
  </si>
  <si>
    <t>EMEA %</t>
  </si>
  <si>
    <t>APJ %</t>
  </si>
  <si>
    <t>Basic %</t>
  </si>
  <si>
    <t>ProSupport %</t>
  </si>
  <si>
    <t>PS Plus %</t>
  </si>
  <si>
    <t>PS Flex %</t>
  </si>
  <si>
    <t>AI</t>
  </si>
  <si>
    <t>SERVER</t>
  </si>
  <si>
    <t>NETWORK</t>
  </si>
  <si>
    <t>STORAGE</t>
  </si>
  <si>
    <t>DP</t>
  </si>
  <si>
    <t>LEGACY</t>
  </si>
  <si>
    <t>Products kept (19) &amp; provided new-contract counts (FY26 base)</t>
  </si>
  <si>
    <t>New contracts (provided)</t>
  </si>
  <si>
    <t>Poweredge</t>
  </si>
  <si>
    <t>Powerswitch</t>
  </si>
  <si>
    <t>Powerscale</t>
  </si>
  <si>
    <t>Vxrail</t>
  </si>
  <si>
    <t>Cloud Servers</t>
  </si>
  <si>
    <t>Powervault</t>
  </si>
  <si>
    <t>Unity</t>
  </si>
  <si>
    <t>Datadomain</t>
  </si>
  <si>
    <t>Poweredge Ai</t>
  </si>
  <si>
    <t>Powerflex</t>
  </si>
  <si>
    <t>Legacy Networking</t>
  </si>
  <si>
    <t>Compellent</t>
  </si>
  <si>
    <t>Powerstore</t>
  </si>
  <si>
    <t>Powermax</t>
  </si>
  <si>
    <t>Avamar</t>
  </si>
  <si>
    <t>Equallogic</t>
  </si>
  <si>
    <t>Vmax</t>
  </si>
  <si>
    <t>Xtremio</t>
  </si>
  <si>
    <t>Vnx</t>
  </si>
  <si>
    <t>Total</t>
  </si>
  <si>
    <t>2026-W52</t>
  </si>
  <si>
    <t>2026-Q4</t>
  </si>
  <si>
    <t>2026-W51</t>
  </si>
  <si>
    <t>2026-W50</t>
  </si>
  <si>
    <t>2026-W49</t>
  </si>
  <si>
    <t>2026-W48</t>
  </si>
  <si>
    <t>2026-W47</t>
  </si>
  <si>
    <t>2026-W46</t>
  </si>
  <si>
    <t>2026-W45</t>
  </si>
  <si>
    <t>2026-W44</t>
  </si>
  <si>
    <t>2026-W43</t>
  </si>
  <si>
    <t>2026-W42</t>
  </si>
  <si>
    <t>2026-W41</t>
  </si>
  <si>
    <t>2026-W40</t>
  </si>
  <si>
    <t>2026-W39</t>
  </si>
  <si>
    <t>2026-Q3</t>
  </si>
  <si>
    <t>2026-W38</t>
  </si>
  <si>
    <t>2026-W37</t>
  </si>
  <si>
    <t>2026-W36</t>
  </si>
  <si>
    <t>2026-W35</t>
  </si>
  <si>
    <t>2026-W34</t>
  </si>
  <si>
    <t>2026-W33</t>
  </si>
  <si>
    <t>2026-W32</t>
  </si>
  <si>
    <t>2026-W31</t>
  </si>
  <si>
    <t>2026-W30</t>
  </si>
  <si>
    <t>2026-W29</t>
  </si>
  <si>
    <t>2026-W28</t>
  </si>
  <si>
    <t>2026-W27</t>
  </si>
  <si>
    <t>2026-W26</t>
  </si>
  <si>
    <t>2026-Q2</t>
  </si>
  <si>
    <t>2026-W25</t>
  </si>
  <si>
    <t>2026-W24</t>
  </si>
  <si>
    <t>2026-W23</t>
  </si>
  <si>
    <t>2026-W22</t>
  </si>
  <si>
    <t>2026-W21</t>
  </si>
  <si>
    <t>2026-W20</t>
  </si>
  <si>
    <t>2026-W19</t>
  </si>
  <si>
    <t>2026-W18</t>
  </si>
  <si>
    <t>2026-W17</t>
  </si>
  <si>
    <t>2026-W16</t>
  </si>
  <si>
    <t>2026-W15</t>
  </si>
  <si>
    <t>2026-W14</t>
  </si>
  <si>
    <t>2026-W13</t>
  </si>
  <si>
    <t>2026-Q1</t>
  </si>
  <si>
    <t>2026-W12</t>
  </si>
  <si>
    <t>2026-W11</t>
  </si>
  <si>
    <t>2026-W10</t>
  </si>
  <si>
    <t>2026-W09</t>
  </si>
  <si>
    <t>2026-W08</t>
  </si>
  <si>
    <t>2026-W07</t>
  </si>
  <si>
    <t>2026-W06</t>
  </si>
  <si>
    <t>2026-W05</t>
  </si>
  <si>
    <t>2026-W04</t>
  </si>
  <si>
    <t>2026-W03</t>
  </si>
  <si>
    <t>2026-W02</t>
  </si>
  <si>
    <t>2026-W01</t>
  </si>
  <si>
    <t>2025-W52</t>
  </si>
  <si>
    <t>2025-Q4</t>
  </si>
  <si>
    <t>FY25</t>
  </si>
  <si>
    <t>2025-W51</t>
  </si>
  <si>
    <t>2025-W50</t>
  </si>
  <si>
    <t>2025-W49</t>
  </si>
  <si>
    <t>2025-W48</t>
  </si>
  <si>
    <t>2025-W47</t>
  </si>
  <si>
    <t>2025-W46</t>
  </si>
  <si>
    <t>2025-W45</t>
  </si>
  <si>
    <t>2025-W44</t>
  </si>
  <si>
    <t>2025-W43</t>
  </si>
  <si>
    <t>2025-W42</t>
  </si>
  <si>
    <t>2025-W41</t>
  </si>
  <si>
    <t>2025-W40</t>
  </si>
  <si>
    <t>2025-W39</t>
  </si>
  <si>
    <t>2025-Q3</t>
  </si>
  <si>
    <t>2025-W38</t>
  </si>
  <si>
    <t>2025-W37</t>
  </si>
  <si>
    <t>2025-W36</t>
  </si>
  <si>
    <t>2025-W35</t>
  </si>
  <si>
    <t>2025-W34</t>
  </si>
  <si>
    <t>2025-W33</t>
  </si>
  <si>
    <t>2025-W32</t>
  </si>
  <si>
    <t>2025-W31</t>
  </si>
  <si>
    <t>2025-W30</t>
  </si>
  <si>
    <t>2025-W29</t>
  </si>
  <si>
    <t>2025-W28</t>
  </si>
  <si>
    <t>2025-W27</t>
  </si>
  <si>
    <t>2025-W26</t>
  </si>
  <si>
    <t>2025-Q2</t>
  </si>
  <si>
    <t>2025-W25</t>
  </si>
  <si>
    <t>2025-W24</t>
  </si>
  <si>
    <t>2025-W23</t>
  </si>
  <si>
    <t>2025-W22</t>
  </si>
  <si>
    <t>2025-W21</t>
  </si>
  <si>
    <t>2025-W20</t>
  </si>
  <si>
    <t>2025-W19</t>
  </si>
  <si>
    <t>2025-W18</t>
  </si>
  <si>
    <t>2025-W17</t>
  </si>
  <si>
    <t>2025-W16</t>
  </si>
  <si>
    <t>2025-W15</t>
  </si>
  <si>
    <t>2025-W14</t>
  </si>
  <si>
    <t>2025-W13</t>
  </si>
  <si>
    <t>2025-Q1</t>
  </si>
  <si>
    <t>2025-W12</t>
  </si>
  <si>
    <t>2025-W11</t>
  </si>
  <si>
    <t>2025-W10</t>
  </si>
  <si>
    <t>2025-W09</t>
  </si>
  <si>
    <t>2025-W08</t>
  </si>
  <si>
    <t>2025-W07</t>
  </si>
  <si>
    <t>2025-W06</t>
  </si>
  <si>
    <t>2025-W05</t>
  </si>
  <si>
    <t>2025-W04</t>
  </si>
  <si>
    <t>2025-W03</t>
  </si>
  <si>
    <t>2025-W02</t>
  </si>
  <si>
    <t>2025-W01</t>
  </si>
  <si>
    <t>2024-W52</t>
  </si>
  <si>
    <t>2024-Q4</t>
  </si>
  <si>
    <t>FY24</t>
  </si>
  <si>
    <t>2024-W51</t>
  </si>
  <si>
    <t>2024-W50</t>
  </si>
  <si>
    <t>2024-W49</t>
  </si>
  <si>
    <t>2024-W48</t>
  </si>
  <si>
    <t>2024-W47</t>
  </si>
  <si>
    <t>2024-W46</t>
  </si>
  <si>
    <t>2024-W45</t>
  </si>
  <si>
    <t>2024-W44</t>
  </si>
  <si>
    <t>2024-W43</t>
  </si>
  <si>
    <t>2024-W42</t>
  </si>
  <si>
    <t>2024-W41</t>
  </si>
  <si>
    <t>2024-W40</t>
  </si>
  <si>
    <t>2024-W39</t>
  </si>
  <si>
    <t>2024-Q3</t>
  </si>
  <si>
    <t>2024-W38</t>
  </si>
  <si>
    <t>2024-W37</t>
  </si>
  <si>
    <t>2024-W36</t>
  </si>
  <si>
    <t>2024-W35</t>
  </si>
  <si>
    <t>2024-W34</t>
  </si>
  <si>
    <t>2024-W33</t>
  </si>
  <si>
    <t>2024-W32</t>
  </si>
  <si>
    <t>2024-W31</t>
  </si>
  <si>
    <t>2024-W30</t>
  </si>
  <si>
    <t>2024-W29</t>
  </si>
  <si>
    <t>2024-W28</t>
  </si>
  <si>
    <t>2024-W27</t>
  </si>
  <si>
    <t>2024-W26</t>
  </si>
  <si>
    <t>2024-Q2</t>
  </si>
  <si>
    <t>2024-W25</t>
  </si>
  <si>
    <t>2024-W24</t>
  </si>
  <si>
    <t>2024-W23</t>
  </si>
  <si>
    <t>2024-W22</t>
  </si>
  <si>
    <t>2024-W21</t>
  </si>
  <si>
    <t>2024-W20</t>
  </si>
  <si>
    <t>2024-W19</t>
  </si>
  <si>
    <t>2024-W18</t>
  </si>
  <si>
    <t>2024-W17</t>
  </si>
  <si>
    <t>2024-W16</t>
  </si>
  <si>
    <t>2024-W15</t>
  </si>
  <si>
    <t>2024-W14</t>
  </si>
  <si>
    <t>2024-W13</t>
  </si>
  <si>
    <t>2024-Q1</t>
  </si>
  <si>
    <t>2024-W12</t>
  </si>
  <si>
    <t>2024-W11</t>
  </si>
  <si>
    <t>2024-W10</t>
  </si>
  <si>
    <t>2024-W09</t>
  </si>
  <si>
    <t>2024-W08</t>
  </si>
  <si>
    <t>2024-W07</t>
  </si>
  <si>
    <t>2024-W06</t>
  </si>
  <si>
    <t>2024-W05</t>
  </si>
  <si>
    <t>2024-W04</t>
  </si>
  <si>
    <t>2024-W03</t>
  </si>
  <si>
    <t>2024-W02</t>
  </si>
  <si>
    <t>2024-W01</t>
  </si>
  <si>
    <t>Fiscal Week</t>
  </si>
  <si>
    <t>Fiscal Quarter</t>
  </si>
  <si>
    <t>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</si>
</sst>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55555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b/>
      <sz val="11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164" fontId="5" fillId="0" borderId="0" xfId="0" applyNumberFormat="1" applyFont="1"/>
    <xf numFmtId="165" fontId="4" fillId="0" borderId="0" xfId="0" applyNumberFormat="1" applyFon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5" fontId="5" fillId="0" borderId="0" xfId="0" applyNumberFormat="1" applyFont="1"/>
    <xf numFmtId="164" fontId="0" fillId="0" borderId="0" xfId="0" applyNumberFormat="1"/>
    <xf numFmtId="164" fontId="6" fillId="0" borderId="0" xfId="0" applyNumberFormat="1" applyFont="1"/>
    <xf numFmtId="165" fontId="5" fillId="3" borderId="0" xfId="0" applyNumberFormat="1" applyFont="1" applyFill="1"/>
    <xf numFmtId="164" fontId="7" fillId="0" borderId="0" xfId="0" applyNumberFormat="1" applyFont="1"/>
    <xf numFmtId="165" fontId="0" fillId="0" borderId="0" xfId="0" applyNumberFormat="1"/>
    <xf numFmtId="165" fontId="6" fillId="0" borderId="0" xfId="0" applyNumberFormat="1" applyFont="1"/>
    <xf numFmtId="2" fontId="5" fillId="0" borderId="0" xfId="0" applyNumberFormat="1" applyFont="1"/>
    <xf numFmtId="9" fontId="5" fillId="0" borderId="0" xfId="0" applyNumberFormat="1" applyFont="1"/>
    <xf numFmtId="3" fontId="5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Normal="100" workbookViewId="0"/>
  </sheetViews>
  <sheetFormatPr defaultColWidth="8.6640625" defaultRowHeight="14.4" x14ac:dyDescent="0.3"/>
  <cols>
    <col min="1" max="1" width="38" customWidth="1"/>
    <col min="2" max="4" width="16" customWidth="1"/>
    <col min="5" max="5" width="12" customWidth="1"/>
  </cols>
  <sheetData>
    <row r="1" spans="1:5" ht="15.75" customHeight="1" x14ac:dyDescent="0.3">
      <c r="A1" s="1" t="s">
        <v>0</v>
      </c>
    </row>
    <row r="3" spans="1:5" ht="15" customHeight="1" x14ac:dyDescent="0.3">
      <c r="A3" s="2" t="s">
        <v>1</v>
      </c>
    </row>
    <row r="5" spans="1:5" ht="15" customHeight="1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 spans="1:5" ht="15" customHeight="1" x14ac:dyDescent="0.3">
      <c r="A6" s="4" t="s">
        <v>7</v>
      </c>
      <c r="B6" s="5">
        <v>24683</v>
      </c>
      <c r="C6" s="5">
        <v>9286</v>
      </c>
      <c r="D6" s="5">
        <v>1873</v>
      </c>
      <c r="E6" s="6">
        <f t="shared" ref="E6:E11" si="0">IFERROR(B6/C6-1,"")</f>
        <v>1.6580874434632782</v>
      </c>
    </row>
    <row r="7" spans="1:5" ht="15" customHeight="1" x14ac:dyDescent="0.3">
      <c r="A7" s="4" t="s">
        <v>8</v>
      </c>
      <c r="B7" s="5">
        <v>19512</v>
      </c>
      <c r="C7" s="5">
        <v>17850</v>
      </c>
      <c r="D7" s="5">
        <v>15751</v>
      </c>
      <c r="E7" s="6">
        <f t="shared" si="0"/>
        <v>9.3109243697478972E-2</v>
      </c>
    </row>
    <row r="8" spans="1:5" ht="15" customHeight="1" x14ac:dyDescent="0.3">
      <c r="A8" s="7" t="s">
        <v>9</v>
      </c>
      <c r="B8" s="8">
        <f>B6+B7</f>
        <v>44195</v>
      </c>
      <c r="C8" s="8">
        <f>C6+C7</f>
        <v>27136</v>
      </c>
      <c r="D8" s="8">
        <f>D6+D7</f>
        <v>17624</v>
      </c>
      <c r="E8" s="6">
        <f t="shared" si="0"/>
        <v>0.62864829009433953</v>
      </c>
    </row>
    <row r="9" spans="1:5" ht="15" customHeight="1" x14ac:dyDescent="0.3">
      <c r="A9" s="4" t="s">
        <v>10</v>
      </c>
      <c r="B9" s="5">
        <v>16631</v>
      </c>
      <c r="C9" s="5">
        <v>16457</v>
      </c>
      <c r="D9" s="5">
        <v>16261</v>
      </c>
      <c r="E9" s="6">
        <f t="shared" si="0"/>
        <v>1.0573008446253862E-2</v>
      </c>
    </row>
    <row r="10" spans="1:5" ht="15" customHeight="1" x14ac:dyDescent="0.3">
      <c r="A10" s="7" t="s">
        <v>11</v>
      </c>
      <c r="B10" s="8">
        <f>B8+B9</f>
        <v>60826</v>
      </c>
      <c r="C10" s="8">
        <f>C8+C9</f>
        <v>43593</v>
      </c>
      <c r="D10" s="8">
        <f>D8+D9</f>
        <v>33885</v>
      </c>
      <c r="E10" s="6">
        <f t="shared" si="0"/>
        <v>0.39531576170486082</v>
      </c>
    </row>
    <row r="11" spans="1:5" ht="15" customHeight="1" x14ac:dyDescent="0.3">
      <c r="A11" s="4" t="s">
        <v>12</v>
      </c>
      <c r="B11" s="5">
        <v>7111</v>
      </c>
      <c r="C11" s="5">
        <v>5579</v>
      </c>
      <c r="D11" s="5">
        <v>4286</v>
      </c>
      <c r="E11" s="6">
        <f t="shared" si="0"/>
        <v>0.27460118300770753</v>
      </c>
    </row>
    <row r="14" spans="1:5" ht="15" customHeight="1" x14ac:dyDescent="0.3">
      <c r="A14" s="7" t="s">
        <v>13</v>
      </c>
    </row>
    <row r="15" spans="1:5" ht="15" customHeight="1" x14ac:dyDescent="0.3">
      <c r="A15" s="3" t="s">
        <v>14</v>
      </c>
      <c r="B15" s="3" t="s">
        <v>15</v>
      </c>
      <c r="C15" s="3" t="s">
        <v>10</v>
      </c>
      <c r="D15" s="3" t="s">
        <v>16</v>
      </c>
    </row>
    <row r="16" spans="1:5" ht="15" customHeight="1" x14ac:dyDescent="0.3">
      <c r="A16" s="4" t="s">
        <v>17</v>
      </c>
      <c r="B16" s="5">
        <v>6318</v>
      </c>
      <c r="C16" s="5">
        <v>4005</v>
      </c>
      <c r="D16" s="9">
        <f>B16+C16</f>
        <v>10323</v>
      </c>
    </row>
    <row r="17" spans="1:4" ht="15" customHeight="1" x14ac:dyDescent="0.3">
      <c r="A17" s="4" t="s">
        <v>18</v>
      </c>
      <c r="B17" s="5">
        <v>12943</v>
      </c>
      <c r="C17" s="5">
        <v>3854</v>
      </c>
      <c r="D17" s="9">
        <f>B17+C17</f>
        <v>16797</v>
      </c>
    </row>
    <row r="18" spans="1:4" ht="15" customHeight="1" x14ac:dyDescent="0.3">
      <c r="A18" s="4" t="s">
        <v>19</v>
      </c>
      <c r="B18" s="5">
        <v>10062</v>
      </c>
      <c r="C18" s="5">
        <v>4014</v>
      </c>
      <c r="D18" s="9">
        <f>B18+C18</f>
        <v>14076</v>
      </c>
    </row>
    <row r="19" spans="1:4" ht="15" customHeight="1" x14ac:dyDescent="0.3">
      <c r="A19" s="4" t="s">
        <v>20</v>
      </c>
      <c r="B19" s="5">
        <v>14872</v>
      </c>
      <c r="C19" s="5">
        <v>4758</v>
      </c>
      <c r="D19" s="9">
        <f>B19+C19</f>
        <v>19630</v>
      </c>
    </row>
    <row r="20" spans="1:4" ht="15" customHeight="1" x14ac:dyDescent="0.3">
      <c r="A20" s="7" t="s">
        <v>21</v>
      </c>
      <c r="B20" s="8">
        <f>SUM(B16:B19)</f>
        <v>44195</v>
      </c>
      <c r="C20" s="8">
        <f>SUM(C16:C19)</f>
        <v>16631</v>
      </c>
      <c r="D20" s="8">
        <f>SUM(D16:D19)</f>
        <v>60826</v>
      </c>
    </row>
    <row r="22" spans="1:4" ht="15" customHeight="1" x14ac:dyDescent="0.3">
      <c r="A22" s="2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58" customWidth="1"/>
    <col min="2" max="2" width="20" customWidth="1"/>
    <col min="3" max="4" width="18" customWidth="1"/>
    <col min="5" max="5" width="20" customWidth="1"/>
    <col min="6" max="6" width="70" customWidth="1"/>
    <col min="7" max="7" width="2" customWidth="1"/>
    <col min="8" max="8" width="30" customWidth="1"/>
    <col min="9" max="9" width="14" customWidth="1"/>
  </cols>
  <sheetData>
    <row r="1" spans="1:9" ht="15.75" customHeight="1" x14ac:dyDescent="0.3">
      <c r="A1" s="1" t="s">
        <v>23</v>
      </c>
    </row>
    <row r="2" spans="1:9" ht="30" customHeight="1" x14ac:dyDescent="0.3">
      <c r="A2" s="2" t="s">
        <v>24</v>
      </c>
    </row>
    <row r="4" spans="1:9" ht="15" customHeight="1" x14ac:dyDescent="0.3">
      <c r="A4" s="3" t="s">
        <v>25</v>
      </c>
      <c r="B4" s="3" t="s">
        <v>26</v>
      </c>
      <c r="C4" s="3" t="s">
        <v>2</v>
      </c>
      <c r="D4" s="3" t="s">
        <v>27</v>
      </c>
      <c r="E4" s="3" t="s">
        <v>28</v>
      </c>
      <c r="F4" s="3" t="s">
        <v>29</v>
      </c>
      <c r="H4" s="7" t="s">
        <v>30</v>
      </c>
    </row>
    <row r="5" spans="1:9" ht="15" customHeight="1" x14ac:dyDescent="0.3">
      <c r="A5" s="4" t="s">
        <v>31</v>
      </c>
      <c r="B5" s="4" t="s">
        <v>15</v>
      </c>
      <c r="C5" s="4" t="s">
        <v>32</v>
      </c>
      <c r="D5" s="10">
        <v>1</v>
      </c>
      <c r="E5" s="11">
        <f>D5*$I$5</f>
        <v>24683</v>
      </c>
      <c r="F5" s="2" t="s">
        <v>33</v>
      </c>
      <c r="H5" t="s">
        <v>7</v>
      </c>
      <c r="I5" s="12">
        <f>'FY26 Official'!B6</f>
        <v>24683</v>
      </c>
    </row>
    <row r="6" spans="1:9" ht="15" customHeight="1" x14ac:dyDescent="0.3">
      <c r="A6" s="4" t="s">
        <v>34</v>
      </c>
      <c r="B6" s="4" t="s">
        <v>15</v>
      </c>
      <c r="C6" s="4" t="s">
        <v>35</v>
      </c>
      <c r="D6" s="13">
        <v>0.88</v>
      </c>
      <c r="E6" s="11">
        <f>D6*$I$6</f>
        <v>17170.560000000001</v>
      </c>
      <c r="F6" s="2" t="s">
        <v>36</v>
      </c>
      <c r="H6" t="s">
        <v>37</v>
      </c>
      <c r="I6" s="12">
        <f>'FY26 Official'!B7</f>
        <v>19512</v>
      </c>
    </row>
    <row r="7" spans="1:9" ht="15" customHeight="1" x14ac:dyDescent="0.3">
      <c r="A7" s="4" t="s">
        <v>38</v>
      </c>
      <c r="B7" s="4" t="s">
        <v>15</v>
      </c>
      <c r="C7" s="4" t="s">
        <v>39</v>
      </c>
      <c r="D7" s="13">
        <v>0.12</v>
      </c>
      <c r="E7" s="11">
        <f>D7*$I$6</f>
        <v>2341.44</v>
      </c>
      <c r="F7" s="2" t="s">
        <v>40</v>
      </c>
      <c r="H7" t="s">
        <v>10</v>
      </c>
      <c r="I7" s="12">
        <f>'FY26 Official'!B9</f>
        <v>16631</v>
      </c>
    </row>
    <row r="8" spans="1:9" ht="15" customHeight="1" x14ac:dyDescent="0.3">
      <c r="A8" s="4" t="s">
        <v>41</v>
      </c>
      <c r="B8" s="4" t="s">
        <v>10</v>
      </c>
      <c r="C8" s="4" t="s">
        <v>42</v>
      </c>
      <c r="D8" s="13">
        <v>0.22</v>
      </c>
      <c r="E8" s="11">
        <f t="shared" ref="E8:E15" si="0">D8*$I$7</f>
        <v>3658.82</v>
      </c>
      <c r="F8" s="2" t="s">
        <v>43</v>
      </c>
    </row>
    <row r="9" spans="1:9" ht="15" customHeight="1" x14ac:dyDescent="0.3">
      <c r="A9" s="4" t="s">
        <v>44</v>
      </c>
      <c r="B9" s="4" t="s">
        <v>10</v>
      </c>
      <c r="C9" s="4" t="s">
        <v>42</v>
      </c>
      <c r="D9" s="13">
        <v>0.13</v>
      </c>
      <c r="E9" s="11">
        <f t="shared" si="0"/>
        <v>2162.0300000000002</v>
      </c>
      <c r="F9" s="2" t="s">
        <v>45</v>
      </c>
    </row>
    <row r="10" spans="1:9" ht="15" customHeight="1" x14ac:dyDescent="0.3">
      <c r="A10" s="4" t="s">
        <v>46</v>
      </c>
      <c r="B10" s="4" t="s">
        <v>10</v>
      </c>
      <c r="C10" s="4" t="s">
        <v>47</v>
      </c>
      <c r="D10" s="13">
        <v>0.13</v>
      </c>
      <c r="E10" s="11">
        <f t="shared" si="0"/>
        <v>2162.0300000000002</v>
      </c>
      <c r="F10" s="2" t="s">
        <v>48</v>
      </c>
    </row>
    <row r="11" spans="1:9" ht="15" customHeight="1" x14ac:dyDescent="0.3">
      <c r="A11" s="4" t="s">
        <v>49</v>
      </c>
      <c r="B11" s="4" t="s">
        <v>10</v>
      </c>
      <c r="C11" s="4" t="s">
        <v>50</v>
      </c>
      <c r="D11" s="13">
        <v>0.15</v>
      </c>
      <c r="E11" s="11">
        <f t="shared" si="0"/>
        <v>2494.65</v>
      </c>
      <c r="F11" s="2" t="s">
        <v>51</v>
      </c>
    </row>
    <row r="12" spans="1:9" ht="15" customHeight="1" x14ac:dyDescent="0.3">
      <c r="A12" s="4" t="s">
        <v>52</v>
      </c>
      <c r="B12" s="4" t="s">
        <v>10</v>
      </c>
      <c r="C12" s="4" t="s">
        <v>53</v>
      </c>
      <c r="D12" s="13">
        <v>0.12</v>
      </c>
      <c r="E12" s="11">
        <f t="shared" si="0"/>
        <v>1995.72</v>
      </c>
      <c r="F12" s="2" t="s">
        <v>54</v>
      </c>
    </row>
    <row r="13" spans="1:9" ht="15" customHeight="1" x14ac:dyDescent="0.3">
      <c r="A13" s="4" t="s">
        <v>55</v>
      </c>
      <c r="B13" s="4" t="s">
        <v>10</v>
      </c>
      <c r="C13" s="4" t="s">
        <v>56</v>
      </c>
      <c r="D13" s="13">
        <v>0.08</v>
      </c>
      <c r="E13" s="11">
        <f t="shared" si="0"/>
        <v>1330.48</v>
      </c>
      <c r="F13" s="2" t="s">
        <v>57</v>
      </c>
    </row>
    <row r="14" spans="1:9" ht="15" customHeight="1" x14ac:dyDescent="0.3">
      <c r="A14" s="4" t="s">
        <v>58</v>
      </c>
      <c r="B14" s="4" t="s">
        <v>10</v>
      </c>
      <c r="C14" s="4" t="s">
        <v>59</v>
      </c>
      <c r="D14" s="13">
        <v>0.04</v>
      </c>
      <c r="E14" s="11">
        <f t="shared" si="0"/>
        <v>665.24</v>
      </c>
      <c r="F14" s="2" t="s">
        <v>60</v>
      </c>
    </row>
    <row r="15" spans="1:9" ht="15" customHeight="1" x14ac:dyDescent="0.3">
      <c r="A15" s="4" t="s">
        <v>61</v>
      </c>
      <c r="B15" s="4" t="s">
        <v>10</v>
      </c>
      <c r="C15" s="4" t="s">
        <v>62</v>
      </c>
      <c r="D15" s="13">
        <v>0.13</v>
      </c>
      <c r="E15" s="11">
        <f t="shared" si="0"/>
        <v>2162.0300000000002</v>
      </c>
      <c r="F15" s="2" t="s">
        <v>63</v>
      </c>
    </row>
    <row r="16" spans="1:9" ht="15" customHeight="1" x14ac:dyDescent="0.3">
      <c r="A16" s="7" t="s">
        <v>64</v>
      </c>
      <c r="E16" s="8">
        <f>SUM(E5:E15)</f>
        <v>60826</v>
      </c>
    </row>
    <row r="17" spans="1:5" ht="15" customHeight="1" x14ac:dyDescent="0.3">
      <c r="A17" s="7" t="s">
        <v>65</v>
      </c>
      <c r="E17" s="14">
        <f>'FY26 Official'!B10</f>
        <v>60826</v>
      </c>
    </row>
    <row r="18" spans="1:5" ht="15" customHeight="1" x14ac:dyDescent="0.3">
      <c r="A18" s="7" t="s">
        <v>66</v>
      </c>
      <c r="E18" s="8">
        <f>E16-E17</f>
        <v>0</v>
      </c>
    </row>
    <row r="20" spans="1:5" ht="15" customHeight="1" x14ac:dyDescent="0.3">
      <c r="A20" s="7" t="s">
        <v>67</v>
      </c>
    </row>
    <row r="21" spans="1:5" ht="15" customHeight="1" x14ac:dyDescent="0.3">
      <c r="A21" t="s">
        <v>68</v>
      </c>
      <c r="D21" s="15">
        <f>D6+D7</f>
        <v>1</v>
      </c>
    </row>
    <row r="22" spans="1:5" ht="15" customHeight="1" x14ac:dyDescent="0.3">
      <c r="A22" t="s">
        <v>69</v>
      </c>
      <c r="D22" s="15">
        <f>SUM(D8:D15)</f>
        <v>1</v>
      </c>
    </row>
    <row r="24" spans="1:5" ht="15" customHeight="1" x14ac:dyDescent="0.3">
      <c r="A24" s="2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"/>
  <sheetViews>
    <sheetView zoomScaleNormal="100" workbookViewId="0">
      <pane ySplit="5" topLeftCell="A6" activePane="bottomLeft" state="frozen"/>
      <selection pane="bottomLeft"/>
    </sheetView>
  </sheetViews>
  <sheetFormatPr defaultColWidth="8.6640625" defaultRowHeight="14.4" x14ac:dyDescent="0.3"/>
  <cols>
    <col min="1" max="1" width="58" customWidth="1"/>
    <col min="2" max="2" width="20" customWidth="1"/>
    <col min="3" max="3" width="10" customWidth="1"/>
    <col min="4" max="7" width="12" customWidth="1"/>
    <col min="8" max="8" width="14" customWidth="1"/>
    <col min="9" max="9" width="2" customWidth="1"/>
    <col min="10" max="10" width="34" customWidth="1"/>
    <col min="11" max="15" width="11" customWidth="1"/>
  </cols>
  <sheetData>
    <row r="1" spans="1:15" ht="15.75" customHeight="1" x14ac:dyDescent="0.3">
      <c r="A1" s="1" t="s">
        <v>71</v>
      </c>
    </row>
    <row r="2" spans="1:15" ht="27.75" customHeight="1" x14ac:dyDescent="0.3">
      <c r="A2" s="2" t="s">
        <v>72</v>
      </c>
    </row>
    <row r="4" spans="1:15" ht="15" customHeight="1" x14ac:dyDescent="0.3">
      <c r="J4" s="7" t="s">
        <v>73</v>
      </c>
    </row>
    <row r="5" spans="1:15" ht="15" customHeight="1" x14ac:dyDescent="0.3">
      <c r="A5" s="3" t="s">
        <v>25</v>
      </c>
      <c r="B5" s="3" t="s">
        <v>26</v>
      </c>
      <c r="C5" s="3" t="s">
        <v>74</v>
      </c>
      <c r="D5" s="3" t="s">
        <v>75</v>
      </c>
      <c r="E5" s="3" t="s">
        <v>76</v>
      </c>
      <c r="F5" s="3" t="s">
        <v>77</v>
      </c>
      <c r="G5" s="3" t="s">
        <v>78</v>
      </c>
      <c r="H5" s="3" t="s">
        <v>21</v>
      </c>
      <c r="J5" s="3"/>
      <c r="K5" s="3" t="s">
        <v>75</v>
      </c>
      <c r="L5" s="3" t="s">
        <v>76</v>
      </c>
      <c r="M5" s="3" t="s">
        <v>77</v>
      </c>
      <c r="N5" s="3" t="s">
        <v>78</v>
      </c>
      <c r="O5" s="3" t="s">
        <v>79</v>
      </c>
    </row>
    <row r="6" spans="1:15" ht="15" customHeight="1" x14ac:dyDescent="0.3">
      <c r="A6" s="4" t="s">
        <v>31</v>
      </c>
      <c r="B6" s="4" t="s">
        <v>32</v>
      </c>
      <c r="C6" s="16">
        <f>'Product Estimates'!D5</f>
        <v>1</v>
      </c>
      <c r="D6" s="11">
        <f>$C6*$K$7</f>
        <v>1882</v>
      </c>
      <c r="E6" s="11">
        <f>$C6*$L$7</f>
        <v>8200</v>
      </c>
      <c r="F6" s="11">
        <f>$C6*$M$7</f>
        <v>5601</v>
      </c>
      <c r="G6" s="11">
        <f>$C6*$N$7</f>
        <v>9000</v>
      </c>
      <c r="H6" s="8">
        <f t="shared" ref="H6:H16" si="0">SUM(D6:G6)</f>
        <v>24683</v>
      </c>
      <c r="J6" t="s">
        <v>80</v>
      </c>
      <c r="K6" s="12">
        <f>'FY26 Official'!B16</f>
        <v>6318</v>
      </c>
      <c r="L6" s="12">
        <f>'FY26 Official'!B17</f>
        <v>12943</v>
      </c>
      <c r="M6" s="12">
        <f>'FY26 Official'!B18</f>
        <v>10062</v>
      </c>
      <c r="N6" s="12">
        <f>'FY26 Official'!B19</f>
        <v>14872</v>
      </c>
      <c r="O6" s="12">
        <f>'FY26 Official'!B8</f>
        <v>44195</v>
      </c>
    </row>
    <row r="7" spans="1:15" ht="15" customHeight="1" x14ac:dyDescent="0.3">
      <c r="A7" s="4" t="s">
        <v>34</v>
      </c>
      <c r="B7" s="4" t="s">
        <v>15</v>
      </c>
      <c r="C7" s="16">
        <f>'Product Estimates'!D6</f>
        <v>0.88</v>
      </c>
      <c r="D7" s="11">
        <f>$C7*$K$8</f>
        <v>3903.68</v>
      </c>
      <c r="E7" s="11">
        <f>$C7*$L$8</f>
        <v>4173.84</v>
      </c>
      <c r="F7" s="11">
        <f>$C7*$M$8</f>
        <v>3925.68</v>
      </c>
      <c r="G7" s="11">
        <f>$C7*$N$8</f>
        <v>5167.3599999999997</v>
      </c>
      <c r="H7" s="8">
        <f t="shared" si="0"/>
        <v>17170.560000000001</v>
      </c>
      <c r="J7" t="s">
        <v>7</v>
      </c>
      <c r="K7" s="5">
        <v>1882</v>
      </c>
      <c r="L7" s="5">
        <v>8200</v>
      </c>
      <c r="M7" s="11">
        <f>O7-K7-L7-N7</f>
        <v>5601</v>
      </c>
      <c r="N7" s="5">
        <v>9000</v>
      </c>
      <c r="O7" s="12">
        <f>'FY26 Official'!B6</f>
        <v>24683</v>
      </c>
    </row>
    <row r="8" spans="1:15" ht="15" customHeight="1" x14ac:dyDescent="0.3">
      <c r="A8" s="4" t="s">
        <v>38</v>
      </c>
      <c r="B8" s="4" t="s">
        <v>15</v>
      </c>
      <c r="C8" s="16">
        <f>'Product Estimates'!D7</f>
        <v>0.12</v>
      </c>
      <c r="D8" s="11">
        <f>$C8*$K$8</f>
        <v>532.31999999999994</v>
      </c>
      <c r="E8" s="11">
        <f>$C8*$L$8</f>
        <v>569.16</v>
      </c>
      <c r="F8" s="11">
        <f>$C8*$M$8</f>
        <v>535.31999999999994</v>
      </c>
      <c r="G8" s="11">
        <f>$C8*$N$8</f>
        <v>704.64</v>
      </c>
      <c r="H8" s="8">
        <f t="shared" si="0"/>
        <v>2341.44</v>
      </c>
      <c r="J8" t="s">
        <v>37</v>
      </c>
      <c r="K8" s="11">
        <f>K6-K7</f>
        <v>4436</v>
      </c>
      <c r="L8" s="11">
        <f>L6-L7</f>
        <v>4743</v>
      </c>
      <c r="M8" s="11">
        <f>M6-M7</f>
        <v>4461</v>
      </c>
      <c r="N8" s="11">
        <f>N6-N7</f>
        <v>5872</v>
      </c>
      <c r="O8" s="12">
        <f>'FY26 Official'!B7</f>
        <v>19512</v>
      </c>
    </row>
    <row r="9" spans="1:15" ht="15" customHeight="1" x14ac:dyDescent="0.3">
      <c r="A9" s="4" t="s">
        <v>41</v>
      </c>
      <c r="B9" s="4" t="s">
        <v>10</v>
      </c>
      <c r="C9" s="16">
        <f>'Product Estimates'!D8</f>
        <v>0.22</v>
      </c>
      <c r="D9" s="11">
        <f t="shared" ref="D9:D16" si="1">$C9*$K$9</f>
        <v>881.1</v>
      </c>
      <c r="E9" s="11">
        <f t="shared" ref="E9:E16" si="2">$C9*$L$9</f>
        <v>847.88</v>
      </c>
      <c r="F9" s="11">
        <f t="shared" ref="F9:F16" si="3">$C9*$M$9</f>
        <v>883.08</v>
      </c>
      <c r="G9" s="11">
        <f t="shared" ref="G9:G16" si="4">$C9*$N$9</f>
        <v>1046.76</v>
      </c>
      <c r="H9" s="8">
        <f t="shared" si="0"/>
        <v>3658.8199999999997</v>
      </c>
      <c r="J9" t="s">
        <v>81</v>
      </c>
      <c r="K9" s="12">
        <f>'FY26 Official'!C16</f>
        <v>4005</v>
      </c>
      <c r="L9" s="12">
        <f>'FY26 Official'!C17</f>
        <v>3854</v>
      </c>
      <c r="M9" s="12">
        <f>'FY26 Official'!C18</f>
        <v>4014</v>
      </c>
      <c r="N9" s="12">
        <f>'FY26 Official'!C19</f>
        <v>4758</v>
      </c>
      <c r="O9" s="12">
        <f>'FY26 Official'!B9</f>
        <v>16631</v>
      </c>
    </row>
    <row r="10" spans="1:15" ht="15" customHeight="1" x14ac:dyDescent="0.3">
      <c r="A10" s="4" t="s">
        <v>44</v>
      </c>
      <c r="B10" s="4" t="s">
        <v>10</v>
      </c>
      <c r="C10" s="16">
        <f>'Product Estimates'!D9</f>
        <v>0.13</v>
      </c>
      <c r="D10" s="11">
        <f t="shared" si="1"/>
        <v>520.65</v>
      </c>
      <c r="E10" s="11">
        <f t="shared" si="2"/>
        <v>501.02000000000004</v>
      </c>
      <c r="F10" s="11">
        <f t="shared" si="3"/>
        <v>521.82000000000005</v>
      </c>
      <c r="G10" s="11">
        <f t="shared" si="4"/>
        <v>618.54000000000008</v>
      </c>
      <c r="H10" s="8">
        <f t="shared" si="0"/>
        <v>2162.0300000000002</v>
      </c>
    </row>
    <row r="11" spans="1:15" ht="15" customHeight="1" x14ac:dyDescent="0.3">
      <c r="A11" s="4" t="s">
        <v>46</v>
      </c>
      <c r="B11" s="4" t="s">
        <v>10</v>
      </c>
      <c r="C11" s="16">
        <f>'Product Estimates'!D10</f>
        <v>0.13</v>
      </c>
      <c r="D11" s="11">
        <f t="shared" si="1"/>
        <v>520.65</v>
      </c>
      <c r="E11" s="11">
        <f t="shared" si="2"/>
        <v>501.02000000000004</v>
      </c>
      <c r="F11" s="11">
        <f t="shared" si="3"/>
        <v>521.82000000000005</v>
      </c>
      <c r="G11" s="11">
        <f t="shared" si="4"/>
        <v>618.54000000000008</v>
      </c>
      <c r="H11" s="8">
        <f t="shared" si="0"/>
        <v>2162.0300000000002</v>
      </c>
      <c r="J11" s="2" t="s">
        <v>82</v>
      </c>
    </row>
    <row r="12" spans="1:15" ht="15" customHeight="1" x14ac:dyDescent="0.3">
      <c r="A12" s="4" t="s">
        <v>49</v>
      </c>
      <c r="B12" s="4" t="s">
        <v>10</v>
      </c>
      <c r="C12" s="16">
        <f>'Product Estimates'!D11</f>
        <v>0.15</v>
      </c>
      <c r="D12" s="11">
        <f t="shared" si="1"/>
        <v>600.75</v>
      </c>
      <c r="E12" s="11">
        <f t="shared" si="2"/>
        <v>578.1</v>
      </c>
      <c r="F12" s="11">
        <f t="shared" si="3"/>
        <v>602.1</v>
      </c>
      <c r="G12" s="11">
        <f t="shared" si="4"/>
        <v>713.69999999999993</v>
      </c>
      <c r="H12" s="8">
        <f t="shared" si="0"/>
        <v>2494.6499999999996</v>
      </c>
      <c r="J12" s="2" t="s">
        <v>83</v>
      </c>
    </row>
    <row r="13" spans="1:15" ht="15" customHeight="1" x14ac:dyDescent="0.3">
      <c r="A13" s="4" t="s">
        <v>52</v>
      </c>
      <c r="B13" s="4" t="s">
        <v>10</v>
      </c>
      <c r="C13" s="16">
        <f>'Product Estimates'!D12</f>
        <v>0.12</v>
      </c>
      <c r="D13" s="11">
        <f t="shared" si="1"/>
        <v>480.59999999999997</v>
      </c>
      <c r="E13" s="11">
        <f t="shared" si="2"/>
        <v>462.47999999999996</v>
      </c>
      <c r="F13" s="11">
        <f t="shared" si="3"/>
        <v>481.68</v>
      </c>
      <c r="G13" s="11">
        <f t="shared" si="4"/>
        <v>570.95999999999992</v>
      </c>
      <c r="H13" s="8">
        <f t="shared" si="0"/>
        <v>1995.7199999999998</v>
      </c>
    </row>
    <row r="14" spans="1:15" ht="15" customHeight="1" x14ac:dyDescent="0.3">
      <c r="A14" s="4" t="s">
        <v>55</v>
      </c>
      <c r="B14" s="4" t="s">
        <v>10</v>
      </c>
      <c r="C14" s="16">
        <f>'Product Estimates'!D13</f>
        <v>0.08</v>
      </c>
      <c r="D14" s="11">
        <f t="shared" si="1"/>
        <v>320.40000000000003</v>
      </c>
      <c r="E14" s="11">
        <f t="shared" si="2"/>
        <v>308.32</v>
      </c>
      <c r="F14" s="11">
        <f t="shared" si="3"/>
        <v>321.12</v>
      </c>
      <c r="G14" s="11">
        <f t="shared" si="4"/>
        <v>380.64</v>
      </c>
      <c r="H14" s="8">
        <f t="shared" si="0"/>
        <v>1330.48</v>
      </c>
    </row>
    <row r="15" spans="1:15" ht="15" customHeight="1" x14ac:dyDescent="0.3">
      <c r="A15" s="4" t="s">
        <v>58</v>
      </c>
      <c r="B15" s="4" t="s">
        <v>10</v>
      </c>
      <c r="C15" s="16">
        <f>'Product Estimates'!D14</f>
        <v>0.04</v>
      </c>
      <c r="D15" s="11">
        <f t="shared" si="1"/>
        <v>160.20000000000002</v>
      </c>
      <c r="E15" s="11">
        <f t="shared" si="2"/>
        <v>154.16</v>
      </c>
      <c r="F15" s="11">
        <f t="shared" si="3"/>
        <v>160.56</v>
      </c>
      <c r="G15" s="11">
        <f t="shared" si="4"/>
        <v>190.32</v>
      </c>
      <c r="H15" s="8">
        <f t="shared" si="0"/>
        <v>665.24</v>
      </c>
    </row>
    <row r="16" spans="1:15" ht="15" customHeight="1" x14ac:dyDescent="0.3">
      <c r="A16" s="4" t="s">
        <v>61</v>
      </c>
      <c r="B16" s="4" t="s">
        <v>10</v>
      </c>
      <c r="C16" s="16">
        <f>'Product Estimates'!D15</f>
        <v>0.13</v>
      </c>
      <c r="D16" s="11">
        <f t="shared" si="1"/>
        <v>520.65</v>
      </c>
      <c r="E16" s="11">
        <f t="shared" si="2"/>
        <v>501.02000000000004</v>
      </c>
      <c r="F16" s="11">
        <f t="shared" si="3"/>
        <v>521.82000000000005</v>
      </c>
      <c r="G16" s="11">
        <f t="shared" si="4"/>
        <v>618.54000000000008</v>
      </c>
      <c r="H16" s="8">
        <f t="shared" si="0"/>
        <v>2162.0300000000002</v>
      </c>
    </row>
    <row r="17" spans="1:8" ht="15" customHeight="1" x14ac:dyDescent="0.3">
      <c r="A17" s="7" t="s">
        <v>16</v>
      </c>
      <c r="D17" s="8">
        <f>SUM(D6:D16)</f>
        <v>10323</v>
      </c>
      <c r="E17" s="8">
        <f>SUM(E6:E16)</f>
        <v>16797</v>
      </c>
      <c r="F17" s="8">
        <f>SUM(F6:F16)</f>
        <v>14076</v>
      </c>
      <c r="G17" s="8">
        <f>SUM(G6:G16)</f>
        <v>19630</v>
      </c>
      <c r="H17" s="8">
        <f>SUM(H6:H16)</f>
        <v>60826</v>
      </c>
    </row>
    <row r="18" spans="1:8" ht="15" customHeight="1" x14ac:dyDescent="0.3">
      <c r="A18" s="7" t="s">
        <v>84</v>
      </c>
      <c r="D18" s="12">
        <f>K6+K9</f>
        <v>10323</v>
      </c>
      <c r="E18" s="12">
        <f>L6+L9</f>
        <v>16797</v>
      </c>
      <c r="F18" s="12">
        <f>M6+M9</f>
        <v>14076</v>
      </c>
      <c r="G18" s="12">
        <f>N6+N9</f>
        <v>19630</v>
      </c>
      <c r="H18" s="12">
        <f>'FY26 Official'!B10</f>
        <v>60826</v>
      </c>
    </row>
    <row r="20" spans="1:8" ht="15" customHeight="1" x14ac:dyDescent="0.3">
      <c r="A20" s="2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zoomScaleNormal="100" workbookViewId="0"/>
  </sheetViews>
  <sheetFormatPr defaultColWidth="8.6640625" defaultRowHeight="14.4" x14ac:dyDescent="0.3"/>
  <cols>
    <col min="1" max="1" width="26" customWidth="1"/>
    <col min="2" max="5" width="12" customWidth="1"/>
    <col min="6" max="6" width="20" customWidth="1"/>
    <col min="7" max="10" width="9" customWidth="1"/>
    <col min="11" max="11" width="12" customWidth="1"/>
    <col min="12" max="13" width="10" customWidth="1"/>
  </cols>
  <sheetData>
    <row r="1" spans="1:13" ht="16.8" x14ac:dyDescent="0.3">
      <c r="A1" s="1" t="s">
        <v>86</v>
      </c>
    </row>
    <row r="2" spans="1:13" ht="99.75" customHeight="1" x14ac:dyDescent="0.3">
      <c r="A2" s="2" t="s">
        <v>87</v>
      </c>
    </row>
    <row r="4" spans="1:13" x14ac:dyDescent="0.3">
      <c r="A4" s="3" t="s">
        <v>2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99</v>
      </c>
    </row>
    <row r="5" spans="1:13" x14ac:dyDescent="0.3">
      <c r="A5" s="4" t="s">
        <v>100</v>
      </c>
      <c r="B5" s="17">
        <v>0.08</v>
      </c>
      <c r="C5" s="17">
        <v>0.38</v>
      </c>
      <c r="D5" s="17">
        <v>1</v>
      </c>
      <c r="E5" s="18">
        <v>0.75</v>
      </c>
      <c r="F5" s="17">
        <v>0.5</v>
      </c>
      <c r="G5" s="18">
        <v>0.7</v>
      </c>
      <c r="H5" s="18">
        <v>0.18</v>
      </c>
      <c r="I5" s="18">
        <v>0.12</v>
      </c>
      <c r="J5" s="18">
        <v>0.05</v>
      </c>
      <c r="K5" s="18">
        <v>0.35</v>
      </c>
      <c r="L5" s="18">
        <v>0.4</v>
      </c>
      <c r="M5" s="18">
        <v>0.2</v>
      </c>
    </row>
    <row r="6" spans="1:13" x14ac:dyDescent="0.3">
      <c r="A6" s="4" t="s">
        <v>101</v>
      </c>
      <c r="B6" s="17">
        <v>0.85</v>
      </c>
      <c r="C6" s="17">
        <v>0.92</v>
      </c>
      <c r="D6" s="17">
        <v>1</v>
      </c>
      <c r="E6" s="18">
        <v>0.7</v>
      </c>
      <c r="F6" s="17">
        <v>2.5</v>
      </c>
      <c r="G6" s="18">
        <v>0.52</v>
      </c>
      <c r="H6" s="18">
        <v>0.28000000000000003</v>
      </c>
      <c r="I6" s="18">
        <v>0.2</v>
      </c>
      <c r="J6" s="18">
        <v>0.2</v>
      </c>
      <c r="K6" s="18">
        <v>0.45</v>
      </c>
      <c r="L6" s="18">
        <v>0.28000000000000003</v>
      </c>
      <c r="M6" s="18">
        <v>7.0000000000000007E-2</v>
      </c>
    </row>
    <row r="7" spans="1:13" x14ac:dyDescent="0.3">
      <c r="A7" s="4" t="s">
        <v>102</v>
      </c>
      <c r="B7" s="17">
        <v>0.9</v>
      </c>
      <c r="C7" s="17">
        <v>0.95</v>
      </c>
      <c r="D7" s="17">
        <v>1</v>
      </c>
      <c r="E7" s="18">
        <v>0.65</v>
      </c>
      <c r="F7" s="17">
        <v>2.5</v>
      </c>
      <c r="G7" s="18">
        <v>0.52</v>
      </c>
      <c r="H7" s="18">
        <v>0.28000000000000003</v>
      </c>
      <c r="I7" s="18">
        <v>0.2</v>
      </c>
      <c r="J7" s="18">
        <v>0.2</v>
      </c>
      <c r="K7" s="18">
        <v>0.45</v>
      </c>
      <c r="L7" s="18">
        <v>0.28000000000000003</v>
      </c>
      <c r="M7" s="18">
        <v>7.0000000000000007E-2</v>
      </c>
    </row>
    <row r="8" spans="1:13" x14ac:dyDescent="0.3">
      <c r="A8" s="4" t="s">
        <v>53</v>
      </c>
      <c r="B8" s="17">
        <v>0.95</v>
      </c>
      <c r="C8" s="17">
        <v>1</v>
      </c>
      <c r="D8" s="17">
        <v>1</v>
      </c>
      <c r="E8" s="18">
        <v>0.8</v>
      </c>
      <c r="F8" s="17">
        <v>2.5</v>
      </c>
      <c r="G8" s="18">
        <v>0.52</v>
      </c>
      <c r="H8" s="18">
        <v>0.28000000000000003</v>
      </c>
      <c r="I8" s="18">
        <v>0.2</v>
      </c>
      <c r="J8" s="18">
        <v>0.05</v>
      </c>
      <c r="K8" s="18">
        <v>0.33</v>
      </c>
      <c r="L8" s="18">
        <v>0.45</v>
      </c>
      <c r="M8" s="18">
        <v>0.17</v>
      </c>
    </row>
    <row r="9" spans="1:13" x14ac:dyDescent="0.3">
      <c r="A9" s="4" t="s">
        <v>103</v>
      </c>
      <c r="B9" s="17">
        <v>0.9</v>
      </c>
      <c r="C9" s="17">
        <v>0.95</v>
      </c>
      <c r="D9" s="17">
        <v>1</v>
      </c>
      <c r="E9" s="18">
        <v>0.85</v>
      </c>
      <c r="F9" s="17">
        <v>2.5</v>
      </c>
      <c r="G9" s="18">
        <v>0.5</v>
      </c>
      <c r="H9" s="18">
        <v>0.3</v>
      </c>
      <c r="I9" s="18">
        <v>0.2</v>
      </c>
      <c r="J9" s="18">
        <v>0.05</v>
      </c>
      <c r="K9" s="18">
        <v>0.33</v>
      </c>
      <c r="L9" s="18">
        <v>0.45</v>
      </c>
      <c r="M9" s="18">
        <v>0.17</v>
      </c>
    </row>
    <row r="10" spans="1:13" x14ac:dyDescent="0.3">
      <c r="A10" s="4" t="s">
        <v>104</v>
      </c>
      <c r="B10" s="17">
        <v>0.95</v>
      </c>
      <c r="C10" s="17">
        <v>1</v>
      </c>
      <c r="D10" s="17">
        <v>1</v>
      </c>
      <c r="E10" s="18">
        <v>0.85</v>
      </c>
      <c r="F10" s="17">
        <v>2.5</v>
      </c>
      <c r="G10" s="18">
        <v>0.52</v>
      </c>
      <c r="H10" s="18">
        <v>0.28000000000000003</v>
      </c>
      <c r="I10" s="18">
        <v>0.2</v>
      </c>
      <c r="J10" s="18">
        <v>0.05</v>
      </c>
      <c r="K10" s="18">
        <v>0.33</v>
      </c>
      <c r="L10" s="18">
        <v>0.45</v>
      </c>
      <c r="M10" s="18">
        <v>0.17</v>
      </c>
    </row>
    <row r="11" spans="1:13" x14ac:dyDescent="0.3">
      <c r="A11" s="4" t="s">
        <v>105</v>
      </c>
      <c r="B11" s="17">
        <v>1.5</v>
      </c>
      <c r="C11" s="17">
        <v>1.2</v>
      </c>
      <c r="D11" s="17">
        <v>1</v>
      </c>
      <c r="E11" s="18">
        <v>0.5</v>
      </c>
      <c r="F11" s="17">
        <v>4</v>
      </c>
      <c r="G11" s="18">
        <v>0.5</v>
      </c>
      <c r="H11" s="18">
        <v>0.3</v>
      </c>
      <c r="I11" s="18">
        <v>0.2</v>
      </c>
      <c r="J11" s="18">
        <v>0.3</v>
      </c>
      <c r="K11" s="18">
        <v>0.45</v>
      </c>
      <c r="L11" s="18">
        <v>0.2</v>
      </c>
      <c r="M11" s="18">
        <v>0.05</v>
      </c>
    </row>
    <row r="14" spans="1:13" x14ac:dyDescent="0.3">
      <c r="A14" s="7" t="s">
        <v>106</v>
      </c>
    </row>
    <row r="15" spans="1:13" x14ac:dyDescent="0.3">
      <c r="A15" s="3" t="s">
        <v>25</v>
      </c>
      <c r="B15" s="3" t="s">
        <v>2</v>
      </c>
      <c r="C15" s="3" t="s">
        <v>107</v>
      </c>
    </row>
    <row r="16" spans="1:13" x14ac:dyDescent="0.3">
      <c r="A16" s="4" t="s">
        <v>108</v>
      </c>
      <c r="B16" s="4" t="s">
        <v>101</v>
      </c>
      <c r="C16" s="19">
        <v>13565373</v>
      </c>
    </row>
    <row r="17" spans="1:3" x14ac:dyDescent="0.3">
      <c r="A17" s="4" t="s">
        <v>109</v>
      </c>
      <c r="B17" s="4" t="s">
        <v>102</v>
      </c>
      <c r="C17" s="19">
        <v>887127</v>
      </c>
    </row>
    <row r="18" spans="1:3" x14ac:dyDescent="0.3">
      <c r="A18" s="4" t="s">
        <v>110</v>
      </c>
      <c r="B18" s="4" t="s">
        <v>103</v>
      </c>
      <c r="C18" s="19">
        <v>446112</v>
      </c>
    </row>
    <row r="19" spans="1:3" x14ac:dyDescent="0.3">
      <c r="A19" s="4" t="s">
        <v>111</v>
      </c>
      <c r="B19" s="4" t="s">
        <v>53</v>
      </c>
      <c r="C19" s="19">
        <v>326756</v>
      </c>
    </row>
    <row r="20" spans="1:3" x14ac:dyDescent="0.3">
      <c r="A20" s="4" t="s">
        <v>112</v>
      </c>
      <c r="B20" s="4" t="s">
        <v>101</v>
      </c>
      <c r="C20" s="19">
        <v>297922</v>
      </c>
    </row>
    <row r="21" spans="1:3" x14ac:dyDescent="0.3">
      <c r="A21" s="4" t="s">
        <v>113</v>
      </c>
      <c r="B21" s="4" t="s">
        <v>103</v>
      </c>
      <c r="C21" s="19">
        <v>242840</v>
      </c>
    </row>
    <row r="22" spans="1:3" x14ac:dyDescent="0.3">
      <c r="A22" s="4" t="s">
        <v>114</v>
      </c>
      <c r="B22" s="4" t="s">
        <v>103</v>
      </c>
      <c r="C22" s="19">
        <v>186931</v>
      </c>
    </row>
    <row r="23" spans="1:3" x14ac:dyDescent="0.3">
      <c r="A23" s="4" t="s">
        <v>115</v>
      </c>
      <c r="B23" s="4" t="s">
        <v>104</v>
      </c>
      <c r="C23" s="19">
        <v>183019</v>
      </c>
    </row>
    <row r="24" spans="1:3" x14ac:dyDescent="0.3">
      <c r="A24" s="4" t="s">
        <v>116</v>
      </c>
      <c r="B24" s="4" t="s">
        <v>100</v>
      </c>
      <c r="C24" s="19">
        <v>164150</v>
      </c>
    </row>
    <row r="25" spans="1:3" x14ac:dyDescent="0.3">
      <c r="A25" s="4" t="s">
        <v>117</v>
      </c>
      <c r="B25" s="4" t="s">
        <v>103</v>
      </c>
      <c r="C25" s="19">
        <v>131156</v>
      </c>
    </row>
    <row r="26" spans="1:3" x14ac:dyDescent="0.3">
      <c r="A26" s="4" t="s">
        <v>118</v>
      </c>
      <c r="B26" s="4" t="s">
        <v>105</v>
      </c>
      <c r="C26" s="19">
        <v>107408</v>
      </c>
    </row>
    <row r="27" spans="1:3" x14ac:dyDescent="0.3">
      <c r="A27" s="4" t="s">
        <v>119</v>
      </c>
      <c r="B27" s="4" t="s">
        <v>105</v>
      </c>
      <c r="C27" s="19">
        <v>71903</v>
      </c>
    </row>
    <row r="28" spans="1:3" x14ac:dyDescent="0.3">
      <c r="A28" s="4" t="s">
        <v>120</v>
      </c>
      <c r="B28" s="4" t="s">
        <v>103</v>
      </c>
      <c r="C28" s="19">
        <v>57809</v>
      </c>
    </row>
    <row r="29" spans="1:3" x14ac:dyDescent="0.3">
      <c r="A29" s="4" t="s">
        <v>121</v>
      </c>
      <c r="B29" s="4" t="s">
        <v>103</v>
      </c>
      <c r="C29" s="19">
        <v>56814</v>
      </c>
    </row>
    <row r="30" spans="1:3" x14ac:dyDescent="0.3">
      <c r="A30" s="4" t="s">
        <v>122</v>
      </c>
      <c r="B30" s="4" t="s">
        <v>104</v>
      </c>
      <c r="C30" s="19">
        <v>19987</v>
      </c>
    </row>
    <row r="31" spans="1:3" x14ac:dyDescent="0.3">
      <c r="A31" s="4" t="s">
        <v>123</v>
      </c>
      <c r="B31" s="4" t="s">
        <v>105</v>
      </c>
      <c r="C31" s="19">
        <v>5637</v>
      </c>
    </row>
    <row r="32" spans="1:3" x14ac:dyDescent="0.3">
      <c r="A32" s="4" t="s">
        <v>124</v>
      </c>
      <c r="B32" s="4" t="s">
        <v>105</v>
      </c>
      <c r="C32" s="19">
        <v>4359</v>
      </c>
    </row>
    <row r="33" spans="1:3" x14ac:dyDescent="0.3">
      <c r="A33" s="4" t="s">
        <v>125</v>
      </c>
      <c r="B33" s="4" t="s">
        <v>105</v>
      </c>
      <c r="C33" s="19">
        <v>2943</v>
      </c>
    </row>
    <row r="34" spans="1:3" x14ac:dyDescent="0.3">
      <c r="A34" s="4" t="s">
        <v>126</v>
      </c>
      <c r="B34" s="4" t="s">
        <v>105</v>
      </c>
      <c r="C34" s="19">
        <v>1537</v>
      </c>
    </row>
    <row r="35" spans="1:3" x14ac:dyDescent="0.3">
      <c r="A35" s="7" t="s">
        <v>127</v>
      </c>
      <c r="C35" s="20">
        <f>SUM(C16:C34)</f>
        <v>16759783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6C84-597E-4068-811B-52FAB34427B6}">
  <dimension ref="A1:W157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14" customWidth="1"/>
    <col min="3" max="3" width="12" customWidth="1"/>
    <col min="4" max="22" width="15" customWidth="1"/>
    <col min="23" max="23" width="14" customWidth="1"/>
  </cols>
  <sheetData>
    <row r="1" spans="1:23" x14ac:dyDescent="0.3">
      <c r="A1" t="s">
        <v>300</v>
      </c>
      <c r="B1" t="s">
        <v>299</v>
      </c>
      <c r="C1" t="s">
        <v>298</v>
      </c>
      <c r="D1" t="s">
        <v>122</v>
      </c>
      <c r="E1" t="s">
        <v>112</v>
      </c>
      <c r="F1" t="s">
        <v>119</v>
      </c>
      <c r="G1" t="s">
        <v>115</v>
      </c>
      <c r="H1" t="s">
        <v>123</v>
      </c>
      <c r="I1" t="s">
        <v>118</v>
      </c>
      <c r="J1" t="s">
        <v>108</v>
      </c>
      <c r="K1" t="s">
        <v>116</v>
      </c>
      <c r="L1" t="s">
        <v>117</v>
      </c>
      <c r="M1" t="s">
        <v>121</v>
      </c>
      <c r="N1" t="s">
        <v>110</v>
      </c>
      <c r="O1" t="s">
        <v>120</v>
      </c>
      <c r="P1" t="s">
        <v>109</v>
      </c>
      <c r="Q1" t="s">
        <v>113</v>
      </c>
      <c r="R1" t="s">
        <v>114</v>
      </c>
      <c r="S1" t="s">
        <v>124</v>
      </c>
      <c r="T1" t="s">
        <v>126</v>
      </c>
      <c r="U1" t="s">
        <v>111</v>
      </c>
      <c r="V1" t="s">
        <v>125</v>
      </c>
      <c r="W1" t="s">
        <v>127</v>
      </c>
    </row>
    <row r="2" spans="1:23" x14ac:dyDescent="0.3">
      <c r="A2" t="s">
        <v>243</v>
      </c>
      <c r="B2" t="s">
        <v>285</v>
      </c>
      <c r="C2" t="s">
        <v>297</v>
      </c>
      <c r="D2">
        <v>4802</v>
      </c>
      <c r="E2">
        <v>63924</v>
      </c>
      <c r="F2">
        <v>43335</v>
      </c>
      <c r="G2">
        <v>43973</v>
      </c>
      <c r="H2">
        <v>3397</v>
      </c>
      <c r="I2">
        <v>64733</v>
      </c>
      <c r="J2">
        <v>2910660</v>
      </c>
      <c r="K2">
        <v>682</v>
      </c>
      <c r="L2">
        <v>29854</v>
      </c>
      <c r="M2">
        <v>12932</v>
      </c>
      <c r="N2">
        <v>101544</v>
      </c>
      <c r="O2">
        <v>13158</v>
      </c>
      <c r="P2">
        <v>201416</v>
      </c>
      <c r="Q2">
        <v>55275</v>
      </c>
      <c r="R2">
        <v>42549</v>
      </c>
      <c r="S2">
        <v>2627</v>
      </c>
      <c r="T2">
        <v>926</v>
      </c>
      <c r="U2">
        <v>78458</v>
      </c>
      <c r="V2">
        <v>1774</v>
      </c>
      <c r="W2">
        <v>3676019</v>
      </c>
    </row>
    <row r="3" spans="1:23" x14ac:dyDescent="0.3">
      <c r="A3" t="s">
        <v>243</v>
      </c>
      <c r="B3" t="s">
        <v>285</v>
      </c>
      <c r="C3" t="s">
        <v>296</v>
      </c>
      <c r="D3">
        <v>4815</v>
      </c>
      <c r="E3">
        <v>64028</v>
      </c>
      <c r="F3">
        <v>43293</v>
      </c>
      <c r="G3">
        <v>44087</v>
      </c>
      <c r="H3">
        <v>3394</v>
      </c>
      <c r="I3">
        <v>64671</v>
      </c>
      <c r="J3">
        <v>2915430</v>
      </c>
      <c r="K3">
        <v>693</v>
      </c>
      <c r="L3">
        <v>29931</v>
      </c>
      <c r="M3">
        <v>12965</v>
      </c>
      <c r="N3">
        <v>101806</v>
      </c>
      <c r="O3">
        <v>13192</v>
      </c>
      <c r="P3">
        <v>201682</v>
      </c>
      <c r="Q3">
        <v>55418</v>
      </c>
      <c r="R3">
        <v>42659</v>
      </c>
      <c r="S3">
        <v>2625</v>
      </c>
      <c r="T3">
        <v>925</v>
      </c>
      <c r="U3">
        <v>78636</v>
      </c>
      <c r="V3">
        <v>1772</v>
      </c>
      <c r="W3">
        <v>3682022</v>
      </c>
    </row>
    <row r="4" spans="1:23" x14ac:dyDescent="0.3">
      <c r="A4" t="s">
        <v>243</v>
      </c>
      <c r="B4" t="s">
        <v>285</v>
      </c>
      <c r="C4" t="s">
        <v>295</v>
      </c>
      <c r="D4">
        <v>4827</v>
      </c>
      <c r="E4">
        <v>64133</v>
      </c>
      <c r="F4">
        <v>43251</v>
      </c>
      <c r="G4">
        <v>44200</v>
      </c>
      <c r="H4">
        <v>3391</v>
      </c>
      <c r="I4">
        <v>64608</v>
      </c>
      <c r="J4">
        <v>2920200</v>
      </c>
      <c r="K4">
        <v>704</v>
      </c>
      <c r="L4">
        <v>30008</v>
      </c>
      <c r="M4">
        <v>12999</v>
      </c>
      <c r="N4">
        <v>102069</v>
      </c>
      <c r="O4">
        <v>13226</v>
      </c>
      <c r="P4">
        <v>201948</v>
      </c>
      <c r="Q4">
        <v>55561</v>
      </c>
      <c r="R4">
        <v>42769</v>
      </c>
      <c r="S4">
        <v>2622</v>
      </c>
      <c r="T4">
        <v>924</v>
      </c>
      <c r="U4">
        <v>78815</v>
      </c>
      <c r="V4">
        <v>1770</v>
      </c>
      <c r="W4">
        <v>3688025</v>
      </c>
    </row>
    <row r="5" spans="1:23" x14ac:dyDescent="0.3">
      <c r="A5" t="s">
        <v>243</v>
      </c>
      <c r="B5" t="s">
        <v>285</v>
      </c>
      <c r="C5" t="s">
        <v>294</v>
      </c>
      <c r="D5">
        <v>4839</v>
      </c>
      <c r="E5">
        <v>64238</v>
      </c>
      <c r="F5">
        <v>43209</v>
      </c>
      <c r="G5">
        <v>44314</v>
      </c>
      <c r="H5">
        <v>3388</v>
      </c>
      <c r="I5">
        <v>64546</v>
      </c>
      <c r="J5">
        <v>2924970</v>
      </c>
      <c r="K5">
        <v>714</v>
      </c>
      <c r="L5">
        <v>30085</v>
      </c>
      <c r="M5">
        <v>13032</v>
      </c>
      <c r="N5">
        <v>102332</v>
      </c>
      <c r="O5">
        <v>13261</v>
      </c>
      <c r="P5">
        <v>202215</v>
      </c>
      <c r="Q5">
        <v>55704</v>
      </c>
      <c r="R5">
        <v>42879</v>
      </c>
      <c r="S5">
        <v>2620</v>
      </c>
      <c r="T5">
        <v>924</v>
      </c>
      <c r="U5">
        <v>78993</v>
      </c>
      <c r="V5">
        <v>1769</v>
      </c>
      <c r="W5">
        <v>3694032</v>
      </c>
    </row>
    <row r="6" spans="1:23" x14ac:dyDescent="0.3">
      <c r="A6" t="s">
        <v>243</v>
      </c>
      <c r="B6" t="s">
        <v>285</v>
      </c>
      <c r="C6" t="s">
        <v>293</v>
      </c>
      <c r="D6">
        <v>4879</v>
      </c>
      <c r="E6">
        <v>64705</v>
      </c>
      <c r="F6">
        <v>43322</v>
      </c>
      <c r="G6">
        <v>44677</v>
      </c>
      <c r="H6">
        <v>3396</v>
      </c>
      <c r="I6">
        <v>64714</v>
      </c>
      <c r="J6">
        <v>2946241</v>
      </c>
      <c r="K6">
        <v>744</v>
      </c>
      <c r="L6">
        <v>30331</v>
      </c>
      <c r="M6">
        <v>13139</v>
      </c>
      <c r="N6">
        <v>103169</v>
      </c>
      <c r="O6">
        <v>13369</v>
      </c>
      <c r="P6">
        <v>203624</v>
      </c>
      <c r="Q6">
        <v>56160</v>
      </c>
      <c r="R6">
        <v>43230</v>
      </c>
      <c r="S6">
        <v>2626</v>
      </c>
      <c r="T6">
        <v>926</v>
      </c>
      <c r="U6">
        <v>79615</v>
      </c>
      <c r="V6">
        <v>1773</v>
      </c>
      <c r="W6">
        <v>3720640</v>
      </c>
    </row>
    <row r="7" spans="1:23" x14ac:dyDescent="0.3">
      <c r="A7" t="s">
        <v>243</v>
      </c>
      <c r="B7" t="s">
        <v>285</v>
      </c>
      <c r="C7" t="s">
        <v>292</v>
      </c>
      <c r="D7">
        <v>4905</v>
      </c>
      <c r="E7">
        <v>64991</v>
      </c>
      <c r="F7">
        <v>43357</v>
      </c>
      <c r="G7">
        <v>44915</v>
      </c>
      <c r="H7">
        <v>3399</v>
      </c>
      <c r="I7">
        <v>64767</v>
      </c>
      <c r="J7">
        <v>2959262</v>
      </c>
      <c r="K7">
        <v>764</v>
      </c>
      <c r="L7">
        <v>30493</v>
      </c>
      <c r="M7">
        <v>13209</v>
      </c>
      <c r="N7">
        <v>103719</v>
      </c>
      <c r="O7">
        <v>13440</v>
      </c>
      <c r="P7">
        <v>204461</v>
      </c>
      <c r="Q7">
        <v>56459</v>
      </c>
      <c r="R7">
        <v>43460</v>
      </c>
      <c r="S7">
        <v>2628</v>
      </c>
      <c r="T7">
        <v>927</v>
      </c>
      <c r="U7">
        <v>80016</v>
      </c>
      <c r="V7">
        <v>1775</v>
      </c>
      <c r="W7">
        <v>3736947</v>
      </c>
    </row>
    <row r="8" spans="1:23" x14ac:dyDescent="0.3">
      <c r="A8" t="s">
        <v>243</v>
      </c>
      <c r="B8" t="s">
        <v>285</v>
      </c>
      <c r="C8" t="s">
        <v>291</v>
      </c>
      <c r="D8">
        <v>4931</v>
      </c>
      <c r="E8">
        <v>65277</v>
      </c>
      <c r="F8">
        <v>43393</v>
      </c>
      <c r="G8">
        <v>45153</v>
      </c>
      <c r="H8">
        <v>3402</v>
      </c>
      <c r="I8">
        <v>64820</v>
      </c>
      <c r="J8">
        <v>2972283</v>
      </c>
      <c r="K8">
        <v>784</v>
      </c>
      <c r="L8">
        <v>30655</v>
      </c>
      <c r="M8">
        <v>13279</v>
      </c>
      <c r="N8">
        <v>104269</v>
      </c>
      <c r="O8">
        <v>13512</v>
      </c>
      <c r="P8">
        <v>205299</v>
      </c>
      <c r="Q8">
        <v>56758</v>
      </c>
      <c r="R8">
        <v>43691</v>
      </c>
      <c r="S8">
        <v>2631</v>
      </c>
      <c r="T8">
        <v>928</v>
      </c>
      <c r="U8">
        <v>80416</v>
      </c>
      <c r="V8">
        <v>1776</v>
      </c>
      <c r="W8">
        <v>3753257</v>
      </c>
    </row>
    <row r="9" spans="1:23" x14ac:dyDescent="0.3">
      <c r="A9" t="s">
        <v>243</v>
      </c>
      <c r="B9" t="s">
        <v>285</v>
      </c>
      <c r="C9" t="s">
        <v>290</v>
      </c>
      <c r="D9">
        <v>4957</v>
      </c>
      <c r="E9">
        <v>65563</v>
      </c>
      <c r="F9">
        <v>43428</v>
      </c>
      <c r="G9">
        <v>45391</v>
      </c>
      <c r="H9">
        <v>3405</v>
      </c>
      <c r="I9">
        <v>64872</v>
      </c>
      <c r="J9">
        <v>2985303</v>
      </c>
      <c r="K9">
        <v>804</v>
      </c>
      <c r="L9">
        <v>30816</v>
      </c>
      <c r="M9">
        <v>13349</v>
      </c>
      <c r="N9">
        <v>104819</v>
      </c>
      <c r="O9">
        <v>13583</v>
      </c>
      <c r="P9">
        <v>206136</v>
      </c>
      <c r="Q9">
        <v>57058</v>
      </c>
      <c r="R9">
        <v>43921</v>
      </c>
      <c r="S9">
        <v>2633</v>
      </c>
      <c r="T9">
        <v>928</v>
      </c>
      <c r="U9">
        <v>80816</v>
      </c>
      <c r="V9">
        <v>1778</v>
      </c>
      <c r="W9">
        <v>3769560</v>
      </c>
    </row>
    <row r="10" spans="1:23" x14ac:dyDescent="0.3">
      <c r="A10" t="s">
        <v>243</v>
      </c>
      <c r="B10" t="s">
        <v>285</v>
      </c>
      <c r="C10" t="s">
        <v>289</v>
      </c>
      <c r="D10">
        <v>4983</v>
      </c>
      <c r="E10">
        <v>65849</v>
      </c>
      <c r="F10">
        <v>43463</v>
      </c>
      <c r="G10">
        <v>45629</v>
      </c>
      <c r="H10">
        <v>3407</v>
      </c>
      <c r="I10">
        <v>64925</v>
      </c>
      <c r="J10">
        <v>2998324</v>
      </c>
      <c r="K10">
        <v>824</v>
      </c>
      <c r="L10">
        <v>30978</v>
      </c>
      <c r="M10">
        <v>13419</v>
      </c>
      <c r="N10">
        <v>105368</v>
      </c>
      <c r="O10">
        <v>13654</v>
      </c>
      <c r="P10">
        <v>206974</v>
      </c>
      <c r="Q10">
        <v>57357</v>
      </c>
      <c r="R10">
        <v>44152</v>
      </c>
      <c r="S10">
        <v>2635</v>
      </c>
      <c r="T10">
        <v>929</v>
      </c>
      <c r="U10">
        <v>81216</v>
      </c>
      <c r="V10">
        <v>1779</v>
      </c>
      <c r="W10">
        <v>3785865</v>
      </c>
    </row>
    <row r="11" spans="1:23" x14ac:dyDescent="0.3">
      <c r="A11" t="s">
        <v>243</v>
      </c>
      <c r="B11" t="s">
        <v>285</v>
      </c>
      <c r="C11" t="s">
        <v>288</v>
      </c>
      <c r="D11">
        <v>5036</v>
      </c>
      <c r="E11">
        <v>66497</v>
      </c>
      <c r="F11">
        <v>43653</v>
      </c>
      <c r="G11">
        <v>46116</v>
      </c>
      <c r="H11">
        <v>3422</v>
      </c>
      <c r="I11">
        <v>65208</v>
      </c>
      <c r="J11">
        <v>3027846</v>
      </c>
      <c r="K11">
        <v>863</v>
      </c>
      <c r="L11">
        <v>31309</v>
      </c>
      <c r="M11">
        <v>13562</v>
      </c>
      <c r="N11">
        <v>106493</v>
      </c>
      <c r="O11">
        <v>13800</v>
      </c>
      <c r="P11">
        <v>208954</v>
      </c>
      <c r="Q11">
        <v>57969</v>
      </c>
      <c r="R11">
        <v>44623</v>
      </c>
      <c r="S11">
        <v>2646</v>
      </c>
      <c r="T11">
        <v>933</v>
      </c>
      <c r="U11">
        <v>82061</v>
      </c>
      <c r="V11">
        <v>1787</v>
      </c>
      <c r="W11">
        <v>3822778</v>
      </c>
    </row>
    <row r="12" spans="1:23" x14ac:dyDescent="0.3">
      <c r="A12" t="s">
        <v>243</v>
      </c>
      <c r="B12" t="s">
        <v>285</v>
      </c>
      <c r="C12" t="s">
        <v>287</v>
      </c>
      <c r="D12">
        <v>5076</v>
      </c>
      <c r="E12">
        <v>66965</v>
      </c>
      <c r="F12">
        <v>43766</v>
      </c>
      <c r="G12">
        <v>46479</v>
      </c>
      <c r="H12">
        <v>3431</v>
      </c>
      <c r="I12">
        <v>65377</v>
      </c>
      <c r="J12">
        <v>3049118</v>
      </c>
      <c r="K12">
        <v>892</v>
      </c>
      <c r="L12">
        <v>31555</v>
      </c>
      <c r="M12">
        <v>13669</v>
      </c>
      <c r="N12">
        <v>107330</v>
      </c>
      <c r="O12">
        <v>13908</v>
      </c>
      <c r="P12">
        <v>210363</v>
      </c>
      <c r="Q12">
        <v>58425</v>
      </c>
      <c r="R12">
        <v>44974</v>
      </c>
      <c r="S12">
        <v>2653</v>
      </c>
      <c r="T12">
        <v>936</v>
      </c>
      <c r="U12">
        <v>82683</v>
      </c>
      <c r="V12">
        <v>1791</v>
      </c>
      <c r="W12">
        <v>3849391</v>
      </c>
    </row>
    <row r="13" spans="1:23" x14ac:dyDescent="0.3">
      <c r="A13" t="s">
        <v>243</v>
      </c>
      <c r="B13" t="s">
        <v>285</v>
      </c>
      <c r="C13" t="s">
        <v>286</v>
      </c>
      <c r="D13">
        <v>5115</v>
      </c>
      <c r="E13">
        <v>67432</v>
      </c>
      <c r="F13">
        <v>43878</v>
      </c>
      <c r="G13">
        <v>46841</v>
      </c>
      <c r="H13">
        <v>3440</v>
      </c>
      <c r="I13">
        <v>65545</v>
      </c>
      <c r="J13">
        <v>3070389</v>
      </c>
      <c r="K13">
        <v>922</v>
      </c>
      <c r="L13">
        <v>31801</v>
      </c>
      <c r="M13">
        <v>13776</v>
      </c>
      <c r="N13">
        <v>108167</v>
      </c>
      <c r="O13">
        <v>14017</v>
      </c>
      <c r="P13">
        <v>211772</v>
      </c>
      <c r="Q13">
        <v>58881</v>
      </c>
      <c r="R13">
        <v>45325</v>
      </c>
      <c r="S13">
        <v>2660</v>
      </c>
      <c r="T13">
        <v>938</v>
      </c>
      <c r="U13">
        <v>83306</v>
      </c>
      <c r="V13">
        <v>1796</v>
      </c>
      <c r="W13">
        <v>3876001</v>
      </c>
    </row>
    <row r="14" spans="1:23" x14ac:dyDescent="0.3">
      <c r="A14" t="s">
        <v>243</v>
      </c>
      <c r="B14" t="s">
        <v>285</v>
      </c>
      <c r="C14" t="s">
        <v>284</v>
      </c>
      <c r="D14">
        <v>5216</v>
      </c>
      <c r="E14">
        <v>68714</v>
      </c>
      <c r="F14">
        <v>44338</v>
      </c>
      <c r="G14">
        <v>47764</v>
      </c>
      <c r="H14">
        <v>3476</v>
      </c>
      <c r="I14">
        <v>66232</v>
      </c>
      <c r="J14">
        <v>3128789</v>
      </c>
      <c r="K14">
        <v>994</v>
      </c>
      <c r="L14">
        <v>32427</v>
      </c>
      <c r="M14">
        <v>14047</v>
      </c>
      <c r="N14">
        <v>110297</v>
      </c>
      <c r="O14">
        <v>14293</v>
      </c>
      <c r="P14">
        <v>215752</v>
      </c>
      <c r="Q14">
        <v>60040</v>
      </c>
      <c r="R14">
        <v>46217</v>
      </c>
      <c r="S14">
        <v>2688</v>
      </c>
      <c r="T14">
        <v>948</v>
      </c>
      <c r="U14">
        <v>84928</v>
      </c>
      <c r="V14">
        <v>1815</v>
      </c>
      <c r="W14">
        <v>3948975</v>
      </c>
    </row>
    <row r="15" spans="1:23" x14ac:dyDescent="0.3">
      <c r="A15" t="s">
        <v>243</v>
      </c>
      <c r="B15" t="s">
        <v>271</v>
      </c>
      <c r="C15" t="s">
        <v>283</v>
      </c>
      <c r="D15">
        <v>5172</v>
      </c>
      <c r="E15">
        <v>68069</v>
      </c>
      <c r="F15">
        <v>43977</v>
      </c>
      <c r="G15">
        <v>47362</v>
      </c>
      <c r="H15">
        <v>3448</v>
      </c>
      <c r="I15">
        <v>65692</v>
      </c>
      <c r="J15">
        <v>3099390</v>
      </c>
      <c r="K15">
        <v>966</v>
      </c>
      <c r="L15">
        <v>32155</v>
      </c>
      <c r="M15">
        <v>13929</v>
      </c>
      <c r="N15">
        <v>109370</v>
      </c>
      <c r="O15">
        <v>14173</v>
      </c>
      <c r="P15">
        <v>213652</v>
      </c>
      <c r="Q15">
        <v>59535</v>
      </c>
      <c r="R15">
        <v>45829</v>
      </c>
      <c r="S15">
        <v>2666</v>
      </c>
      <c r="T15">
        <v>940</v>
      </c>
      <c r="U15">
        <v>84186</v>
      </c>
      <c r="V15">
        <v>1800</v>
      </c>
      <c r="W15">
        <v>3912311</v>
      </c>
    </row>
    <row r="16" spans="1:23" x14ac:dyDescent="0.3">
      <c r="A16" t="s">
        <v>243</v>
      </c>
      <c r="B16" t="s">
        <v>271</v>
      </c>
      <c r="C16" t="s">
        <v>282</v>
      </c>
      <c r="D16">
        <v>5186</v>
      </c>
      <c r="E16">
        <v>68183</v>
      </c>
      <c r="F16">
        <v>43939</v>
      </c>
      <c r="G16">
        <v>47483</v>
      </c>
      <c r="H16">
        <v>3445</v>
      </c>
      <c r="I16">
        <v>65636</v>
      </c>
      <c r="J16">
        <v>3104608</v>
      </c>
      <c r="K16">
        <v>977</v>
      </c>
      <c r="L16">
        <v>32236</v>
      </c>
      <c r="M16">
        <v>13964</v>
      </c>
      <c r="N16">
        <v>109648</v>
      </c>
      <c r="O16">
        <v>14209</v>
      </c>
      <c r="P16">
        <v>213950</v>
      </c>
      <c r="Q16">
        <v>59687</v>
      </c>
      <c r="R16">
        <v>45945</v>
      </c>
      <c r="S16">
        <v>2664</v>
      </c>
      <c r="T16">
        <v>939</v>
      </c>
      <c r="U16">
        <v>84376</v>
      </c>
      <c r="V16">
        <v>1798</v>
      </c>
      <c r="W16">
        <v>3918873</v>
      </c>
    </row>
    <row r="17" spans="1:23" x14ac:dyDescent="0.3">
      <c r="A17" t="s">
        <v>243</v>
      </c>
      <c r="B17" t="s">
        <v>271</v>
      </c>
      <c r="C17" t="s">
        <v>281</v>
      </c>
      <c r="D17">
        <v>5199</v>
      </c>
      <c r="E17">
        <v>68298</v>
      </c>
      <c r="F17">
        <v>43901</v>
      </c>
      <c r="G17">
        <v>47603</v>
      </c>
      <c r="H17">
        <v>3442</v>
      </c>
      <c r="I17">
        <v>65579</v>
      </c>
      <c r="J17">
        <v>3109826</v>
      </c>
      <c r="K17">
        <v>988</v>
      </c>
      <c r="L17">
        <v>32318</v>
      </c>
      <c r="M17">
        <v>14000</v>
      </c>
      <c r="N17">
        <v>109927</v>
      </c>
      <c r="O17">
        <v>14245</v>
      </c>
      <c r="P17">
        <v>214247</v>
      </c>
      <c r="Q17">
        <v>59838</v>
      </c>
      <c r="R17">
        <v>46062</v>
      </c>
      <c r="S17">
        <v>2661</v>
      </c>
      <c r="T17">
        <v>938</v>
      </c>
      <c r="U17">
        <v>84566</v>
      </c>
      <c r="V17">
        <v>1797</v>
      </c>
      <c r="W17">
        <v>3925435</v>
      </c>
    </row>
    <row r="18" spans="1:23" x14ac:dyDescent="0.3">
      <c r="A18" t="s">
        <v>243</v>
      </c>
      <c r="B18" t="s">
        <v>271</v>
      </c>
      <c r="C18" t="s">
        <v>280</v>
      </c>
      <c r="D18">
        <v>5212</v>
      </c>
      <c r="E18">
        <v>68412</v>
      </c>
      <c r="F18">
        <v>43864</v>
      </c>
      <c r="G18">
        <v>47724</v>
      </c>
      <c r="H18">
        <v>3439</v>
      </c>
      <c r="I18">
        <v>65523</v>
      </c>
      <c r="J18">
        <v>3115045</v>
      </c>
      <c r="K18">
        <v>999</v>
      </c>
      <c r="L18">
        <v>32400</v>
      </c>
      <c r="M18">
        <v>14035</v>
      </c>
      <c r="N18">
        <v>110205</v>
      </c>
      <c r="O18">
        <v>14281</v>
      </c>
      <c r="P18">
        <v>214544</v>
      </c>
      <c r="Q18">
        <v>59990</v>
      </c>
      <c r="R18">
        <v>46178</v>
      </c>
      <c r="S18">
        <v>2659</v>
      </c>
      <c r="T18">
        <v>938</v>
      </c>
      <c r="U18">
        <v>84757</v>
      </c>
      <c r="V18">
        <v>1795</v>
      </c>
      <c r="W18">
        <v>3932000</v>
      </c>
    </row>
    <row r="19" spans="1:23" x14ac:dyDescent="0.3">
      <c r="A19" t="s">
        <v>243</v>
      </c>
      <c r="B19" t="s">
        <v>271</v>
      </c>
      <c r="C19" t="s">
        <v>279</v>
      </c>
      <c r="D19">
        <v>5253</v>
      </c>
      <c r="E19">
        <v>68905</v>
      </c>
      <c r="F19">
        <v>43987</v>
      </c>
      <c r="G19">
        <v>48104</v>
      </c>
      <c r="H19">
        <v>3448</v>
      </c>
      <c r="I19">
        <v>65708</v>
      </c>
      <c r="J19">
        <v>3137482</v>
      </c>
      <c r="K19">
        <v>1030</v>
      </c>
      <c r="L19">
        <v>32658</v>
      </c>
      <c r="M19">
        <v>14147</v>
      </c>
      <c r="N19">
        <v>111083</v>
      </c>
      <c r="O19">
        <v>14394</v>
      </c>
      <c r="P19">
        <v>216034</v>
      </c>
      <c r="Q19">
        <v>60468</v>
      </c>
      <c r="R19">
        <v>46546</v>
      </c>
      <c r="S19">
        <v>2667</v>
      </c>
      <c r="T19">
        <v>940</v>
      </c>
      <c r="U19">
        <v>85410</v>
      </c>
      <c r="V19">
        <v>1800</v>
      </c>
      <c r="W19">
        <v>3960064</v>
      </c>
    </row>
    <row r="20" spans="1:23" x14ac:dyDescent="0.3">
      <c r="A20" t="s">
        <v>243</v>
      </c>
      <c r="B20" t="s">
        <v>271</v>
      </c>
      <c r="C20" t="s">
        <v>278</v>
      </c>
      <c r="D20">
        <v>5281</v>
      </c>
      <c r="E20">
        <v>69209</v>
      </c>
      <c r="F20">
        <v>44030</v>
      </c>
      <c r="G20">
        <v>48354</v>
      </c>
      <c r="H20">
        <v>3452</v>
      </c>
      <c r="I20">
        <v>65772</v>
      </c>
      <c r="J20">
        <v>3151310</v>
      </c>
      <c r="K20">
        <v>1051</v>
      </c>
      <c r="L20">
        <v>32828</v>
      </c>
      <c r="M20">
        <v>14220</v>
      </c>
      <c r="N20">
        <v>111661</v>
      </c>
      <c r="O20">
        <v>14469</v>
      </c>
      <c r="P20">
        <v>216928</v>
      </c>
      <c r="Q20">
        <v>60782</v>
      </c>
      <c r="R20">
        <v>46788</v>
      </c>
      <c r="S20">
        <v>2669</v>
      </c>
      <c r="T20">
        <v>941</v>
      </c>
      <c r="U20">
        <v>85832</v>
      </c>
      <c r="V20">
        <v>1802</v>
      </c>
      <c r="W20">
        <v>3977379</v>
      </c>
    </row>
    <row r="21" spans="1:23" x14ac:dyDescent="0.3">
      <c r="A21" t="s">
        <v>243</v>
      </c>
      <c r="B21" t="s">
        <v>271</v>
      </c>
      <c r="C21" t="s">
        <v>277</v>
      </c>
      <c r="D21">
        <v>5308</v>
      </c>
      <c r="E21">
        <v>69513</v>
      </c>
      <c r="F21">
        <v>44073</v>
      </c>
      <c r="G21">
        <v>48604</v>
      </c>
      <c r="H21">
        <v>3455</v>
      </c>
      <c r="I21">
        <v>65836</v>
      </c>
      <c r="J21">
        <v>3165138</v>
      </c>
      <c r="K21">
        <v>1072</v>
      </c>
      <c r="L21">
        <v>32998</v>
      </c>
      <c r="M21">
        <v>14294</v>
      </c>
      <c r="N21">
        <v>112239</v>
      </c>
      <c r="O21">
        <v>14544</v>
      </c>
      <c r="P21">
        <v>217821</v>
      </c>
      <c r="Q21">
        <v>61097</v>
      </c>
      <c r="R21">
        <v>47030</v>
      </c>
      <c r="S21">
        <v>2672</v>
      </c>
      <c r="T21">
        <v>942</v>
      </c>
      <c r="U21">
        <v>86254</v>
      </c>
      <c r="V21">
        <v>1804</v>
      </c>
      <c r="W21">
        <v>3994694</v>
      </c>
    </row>
    <row r="22" spans="1:23" x14ac:dyDescent="0.3">
      <c r="A22" t="s">
        <v>243</v>
      </c>
      <c r="B22" t="s">
        <v>271</v>
      </c>
      <c r="C22" t="s">
        <v>276</v>
      </c>
      <c r="D22">
        <v>5335</v>
      </c>
      <c r="E22">
        <v>69816</v>
      </c>
      <c r="F22">
        <v>44116</v>
      </c>
      <c r="G22">
        <v>48855</v>
      </c>
      <c r="H22">
        <v>3459</v>
      </c>
      <c r="I22">
        <v>65900</v>
      </c>
      <c r="J22">
        <v>3178966</v>
      </c>
      <c r="K22">
        <v>1093</v>
      </c>
      <c r="L22">
        <v>33168</v>
      </c>
      <c r="M22">
        <v>14368</v>
      </c>
      <c r="N22">
        <v>112817</v>
      </c>
      <c r="O22">
        <v>14619</v>
      </c>
      <c r="P22">
        <v>218714</v>
      </c>
      <c r="Q22">
        <v>61412</v>
      </c>
      <c r="R22">
        <v>47273</v>
      </c>
      <c r="S22">
        <v>2674</v>
      </c>
      <c r="T22">
        <v>943</v>
      </c>
      <c r="U22">
        <v>86676</v>
      </c>
      <c r="V22">
        <v>1806</v>
      </c>
      <c r="W22">
        <v>4012010</v>
      </c>
    </row>
    <row r="23" spans="1:23" x14ac:dyDescent="0.3">
      <c r="A23" t="s">
        <v>243</v>
      </c>
      <c r="B23" t="s">
        <v>271</v>
      </c>
      <c r="C23" t="s">
        <v>275</v>
      </c>
      <c r="D23">
        <v>5363</v>
      </c>
      <c r="E23">
        <v>70120</v>
      </c>
      <c r="F23">
        <v>44159</v>
      </c>
      <c r="G23">
        <v>49105</v>
      </c>
      <c r="H23">
        <v>3462</v>
      </c>
      <c r="I23">
        <v>65964</v>
      </c>
      <c r="J23">
        <v>3192793</v>
      </c>
      <c r="K23">
        <v>1114</v>
      </c>
      <c r="L23">
        <v>33338</v>
      </c>
      <c r="M23">
        <v>14441</v>
      </c>
      <c r="N23">
        <v>113395</v>
      </c>
      <c r="O23">
        <v>14694</v>
      </c>
      <c r="P23">
        <v>219608</v>
      </c>
      <c r="Q23">
        <v>61726</v>
      </c>
      <c r="R23">
        <v>47515</v>
      </c>
      <c r="S23">
        <v>2677</v>
      </c>
      <c r="T23">
        <v>944</v>
      </c>
      <c r="U23">
        <v>87098</v>
      </c>
      <c r="V23">
        <v>1807</v>
      </c>
      <c r="W23">
        <v>4029323</v>
      </c>
    </row>
    <row r="24" spans="1:23" x14ac:dyDescent="0.3">
      <c r="A24" t="s">
        <v>243</v>
      </c>
      <c r="B24" t="s">
        <v>271</v>
      </c>
      <c r="C24" t="s">
        <v>274</v>
      </c>
      <c r="D24">
        <v>5418</v>
      </c>
      <c r="E24">
        <v>70802</v>
      </c>
      <c r="F24">
        <v>44363</v>
      </c>
      <c r="G24">
        <v>49615</v>
      </c>
      <c r="H24">
        <v>3478</v>
      </c>
      <c r="I24">
        <v>66269</v>
      </c>
      <c r="J24">
        <v>3223840</v>
      </c>
      <c r="K24">
        <v>1155</v>
      </c>
      <c r="L24">
        <v>33684</v>
      </c>
      <c r="M24">
        <v>14591</v>
      </c>
      <c r="N24">
        <v>114572</v>
      </c>
      <c r="O24">
        <v>14847</v>
      </c>
      <c r="P24">
        <v>221694</v>
      </c>
      <c r="Q24">
        <v>62367</v>
      </c>
      <c r="R24">
        <v>48008</v>
      </c>
      <c r="S24">
        <v>2689</v>
      </c>
      <c r="T24">
        <v>948</v>
      </c>
      <c r="U24">
        <v>87984</v>
      </c>
      <c r="V24">
        <v>1816</v>
      </c>
      <c r="W24">
        <v>4068140</v>
      </c>
    </row>
    <row r="25" spans="1:23" x14ac:dyDescent="0.3">
      <c r="A25" t="s">
        <v>243</v>
      </c>
      <c r="B25" t="s">
        <v>271</v>
      </c>
      <c r="C25" t="s">
        <v>273</v>
      </c>
      <c r="D25">
        <v>5460</v>
      </c>
      <c r="E25">
        <v>71295</v>
      </c>
      <c r="F25">
        <v>44486</v>
      </c>
      <c r="G25">
        <v>49995</v>
      </c>
      <c r="H25">
        <v>3488</v>
      </c>
      <c r="I25">
        <v>66453</v>
      </c>
      <c r="J25">
        <v>3246277</v>
      </c>
      <c r="K25">
        <v>1185</v>
      </c>
      <c r="L25">
        <v>33942</v>
      </c>
      <c r="M25">
        <v>14703</v>
      </c>
      <c r="N25">
        <v>115450</v>
      </c>
      <c r="O25">
        <v>14960</v>
      </c>
      <c r="P25">
        <v>223184</v>
      </c>
      <c r="Q25">
        <v>62845</v>
      </c>
      <c r="R25">
        <v>48376</v>
      </c>
      <c r="S25">
        <v>2697</v>
      </c>
      <c r="T25">
        <v>951</v>
      </c>
      <c r="U25">
        <v>88638</v>
      </c>
      <c r="V25">
        <v>1821</v>
      </c>
      <c r="W25">
        <v>4096206</v>
      </c>
    </row>
    <row r="26" spans="1:23" x14ac:dyDescent="0.3">
      <c r="A26" t="s">
        <v>243</v>
      </c>
      <c r="B26" t="s">
        <v>271</v>
      </c>
      <c r="C26" t="s">
        <v>272</v>
      </c>
      <c r="D26">
        <v>5501</v>
      </c>
      <c r="E26">
        <v>71787</v>
      </c>
      <c r="F26">
        <v>44610</v>
      </c>
      <c r="G26">
        <v>50375</v>
      </c>
      <c r="H26">
        <v>3497</v>
      </c>
      <c r="I26">
        <v>66638</v>
      </c>
      <c r="J26">
        <v>3268715</v>
      </c>
      <c r="K26">
        <v>1216</v>
      </c>
      <c r="L26">
        <v>34200</v>
      </c>
      <c r="M26">
        <v>14815</v>
      </c>
      <c r="N26">
        <v>116328</v>
      </c>
      <c r="O26">
        <v>15074</v>
      </c>
      <c r="P26">
        <v>224673</v>
      </c>
      <c r="Q26">
        <v>63323</v>
      </c>
      <c r="R26">
        <v>48744</v>
      </c>
      <c r="S26">
        <v>2704</v>
      </c>
      <c r="T26">
        <v>954</v>
      </c>
      <c r="U26">
        <v>89292</v>
      </c>
      <c r="V26">
        <v>1826</v>
      </c>
      <c r="W26">
        <v>4124272</v>
      </c>
    </row>
    <row r="27" spans="1:23" x14ac:dyDescent="0.3">
      <c r="A27" t="s">
        <v>243</v>
      </c>
      <c r="B27" t="s">
        <v>271</v>
      </c>
      <c r="C27" t="s">
        <v>270</v>
      </c>
      <c r="D27">
        <v>5607</v>
      </c>
      <c r="E27">
        <v>73131</v>
      </c>
      <c r="F27">
        <v>45096</v>
      </c>
      <c r="G27">
        <v>51340</v>
      </c>
      <c r="H27">
        <v>3535</v>
      </c>
      <c r="I27">
        <v>67363</v>
      </c>
      <c r="J27">
        <v>3329895</v>
      </c>
      <c r="K27">
        <v>1291</v>
      </c>
      <c r="L27">
        <v>34855</v>
      </c>
      <c r="M27">
        <v>15098</v>
      </c>
      <c r="N27">
        <v>118555</v>
      </c>
      <c r="O27">
        <v>15363</v>
      </c>
      <c r="P27">
        <v>228846</v>
      </c>
      <c r="Q27">
        <v>64535</v>
      </c>
      <c r="R27">
        <v>49677</v>
      </c>
      <c r="S27">
        <v>2734</v>
      </c>
      <c r="T27">
        <v>964</v>
      </c>
      <c r="U27">
        <v>90988</v>
      </c>
      <c r="V27">
        <v>1846</v>
      </c>
      <c r="W27">
        <v>4200719</v>
      </c>
    </row>
    <row r="28" spans="1:23" x14ac:dyDescent="0.3">
      <c r="A28" t="s">
        <v>243</v>
      </c>
      <c r="B28" t="s">
        <v>257</v>
      </c>
      <c r="C28" t="s">
        <v>269</v>
      </c>
      <c r="D28">
        <v>5560</v>
      </c>
      <c r="E28">
        <v>72442</v>
      </c>
      <c r="F28">
        <v>44716</v>
      </c>
      <c r="G28">
        <v>50908</v>
      </c>
      <c r="H28">
        <v>3506</v>
      </c>
      <c r="I28">
        <v>66796</v>
      </c>
      <c r="J28">
        <v>3298523</v>
      </c>
      <c r="K28">
        <v>1261</v>
      </c>
      <c r="L28">
        <v>34562</v>
      </c>
      <c r="M28">
        <v>14972</v>
      </c>
      <c r="N28">
        <v>117559</v>
      </c>
      <c r="O28">
        <v>15234</v>
      </c>
      <c r="P28">
        <v>226609</v>
      </c>
      <c r="Q28">
        <v>63993</v>
      </c>
      <c r="R28">
        <v>49260</v>
      </c>
      <c r="S28">
        <v>2711</v>
      </c>
      <c r="T28">
        <v>956</v>
      </c>
      <c r="U28">
        <v>90194</v>
      </c>
      <c r="V28">
        <v>1830</v>
      </c>
      <c r="W28">
        <v>4161592</v>
      </c>
    </row>
    <row r="29" spans="1:23" x14ac:dyDescent="0.3">
      <c r="A29" t="s">
        <v>243</v>
      </c>
      <c r="B29" t="s">
        <v>257</v>
      </c>
      <c r="C29" t="s">
        <v>268</v>
      </c>
      <c r="D29">
        <v>5573</v>
      </c>
      <c r="E29">
        <v>72557</v>
      </c>
      <c r="F29">
        <v>44678</v>
      </c>
      <c r="G29">
        <v>51029</v>
      </c>
      <c r="H29">
        <v>3503</v>
      </c>
      <c r="I29">
        <v>66740</v>
      </c>
      <c r="J29">
        <v>3303741</v>
      </c>
      <c r="K29">
        <v>1272</v>
      </c>
      <c r="L29">
        <v>34644</v>
      </c>
      <c r="M29">
        <v>15007</v>
      </c>
      <c r="N29">
        <v>117837</v>
      </c>
      <c r="O29">
        <v>15270</v>
      </c>
      <c r="P29">
        <v>226907</v>
      </c>
      <c r="Q29">
        <v>64144</v>
      </c>
      <c r="R29">
        <v>49376</v>
      </c>
      <c r="S29">
        <v>2708</v>
      </c>
      <c r="T29">
        <v>955</v>
      </c>
      <c r="U29">
        <v>90384</v>
      </c>
      <c r="V29">
        <v>1829</v>
      </c>
      <c r="W29">
        <v>4168154</v>
      </c>
    </row>
    <row r="30" spans="1:23" x14ac:dyDescent="0.3">
      <c r="A30" t="s">
        <v>243</v>
      </c>
      <c r="B30" t="s">
        <v>257</v>
      </c>
      <c r="C30" t="s">
        <v>267</v>
      </c>
      <c r="D30">
        <v>5586</v>
      </c>
      <c r="E30">
        <v>72671</v>
      </c>
      <c r="F30">
        <v>44640</v>
      </c>
      <c r="G30">
        <v>51149</v>
      </c>
      <c r="H30">
        <v>3500</v>
      </c>
      <c r="I30">
        <v>66684</v>
      </c>
      <c r="J30">
        <v>3308959</v>
      </c>
      <c r="K30">
        <v>1283</v>
      </c>
      <c r="L30">
        <v>34726</v>
      </c>
      <c r="M30">
        <v>15042</v>
      </c>
      <c r="N30">
        <v>118115</v>
      </c>
      <c r="O30">
        <v>15306</v>
      </c>
      <c r="P30">
        <v>227204</v>
      </c>
      <c r="Q30">
        <v>64296</v>
      </c>
      <c r="R30">
        <v>49493</v>
      </c>
      <c r="S30">
        <v>2706</v>
      </c>
      <c r="T30">
        <v>954</v>
      </c>
      <c r="U30">
        <v>90574</v>
      </c>
      <c r="V30">
        <v>1827</v>
      </c>
      <c r="W30">
        <v>4174715</v>
      </c>
    </row>
    <row r="31" spans="1:23" x14ac:dyDescent="0.3">
      <c r="A31" t="s">
        <v>243</v>
      </c>
      <c r="B31" t="s">
        <v>257</v>
      </c>
      <c r="C31" t="s">
        <v>266</v>
      </c>
      <c r="D31">
        <v>5599</v>
      </c>
      <c r="E31">
        <v>72786</v>
      </c>
      <c r="F31">
        <v>44603</v>
      </c>
      <c r="G31">
        <v>51270</v>
      </c>
      <c r="H31">
        <v>3497</v>
      </c>
      <c r="I31">
        <v>66627</v>
      </c>
      <c r="J31">
        <v>3314178</v>
      </c>
      <c r="K31">
        <v>1294</v>
      </c>
      <c r="L31">
        <v>34807</v>
      </c>
      <c r="M31">
        <v>15078</v>
      </c>
      <c r="N31">
        <v>118394</v>
      </c>
      <c r="O31">
        <v>15342</v>
      </c>
      <c r="P31">
        <v>227501</v>
      </c>
      <c r="Q31">
        <v>64447</v>
      </c>
      <c r="R31">
        <v>49610</v>
      </c>
      <c r="S31">
        <v>2704</v>
      </c>
      <c r="T31">
        <v>953</v>
      </c>
      <c r="U31">
        <v>90764</v>
      </c>
      <c r="V31">
        <v>1826</v>
      </c>
      <c r="W31">
        <v>4181280</v>
      </c>
    </row>
    <row r="32" spans="1:23" x14ac:dyDescent="0.3">
      <c r="A32" t="s">
        <v>243</v>
      </c>
      <c r="B32" t="s">
        <v>257</v>
      </c>
      <c r="C32" t="s">
        <v>265</v>
      </c>
      <c r="D32">
        <v>5640</v>
      </c>
      <c r="E32">
        <v>73279</v>
      </c>
      <c r="F32">
        <v>44726</v>
      </c>
      <c r="G32">
        <v>51650</v>
      </c>
      <c r="H32">
        <v>3506</v>
      </c>
      <c r="I32">
        <v>66812</v>
      </c>
      <c r="J32">
        <v>3336615</v>
      </c>
      <c r="K32">
        <v>1325</v>
      </c>
      <c r="L32">
        <v>35066</v>
      </c>
      <c r="M32">
        <v>15190</v>
      </c>
      <c r="N32">
        <v>119271</v>
      </c>
      <c r="O32">
        <v>15456</v>
      </c>
      <c r="P32">
        <v>228991</v>
      </c>
      <c r="Q32">
        <v>64925</v>
      </c>
      <c r="R32">
        <v>49977</v>
      </c>
      <c r="S32">
        <v>2712</v>
      </c>
      <c r="T32">
        <v>956</v>
      </c>
      <c r="U32">
        <v>91418</v>
      </c>
      <c r="V32">
        <v>1831</v>
      </c>
      <c r="W32">
        <v>4209346</v>
      </c>
    </row>
    <row r="33" spans="1:23" x14ac:dyDescent="0.3">
      <c r="A33" t="s">
        <v>243</v>
      </c>
      <c r="B33" t="s">
        <v>257</v>
      </c>
      <c r="C33" t="s">
        <v>264</v>
      </c>
      <c r="D33">
        <v>5668</v>
      </c>
      <c r="E33">
        <v>73582</v>
      </c>
      <c r="F33">
        <v>44769</v>
      </c>
      <c r="G33">
        <v>51900</v>
      </c>
      <c r="H33">
        <v>3510</v>
      </c>
      <c r="I33">
        <v>66876</v>
      </c>
      <c r="J33">
        <v>3350443</v>
      </c>
      <c r="K33">
        <v>1346</v>
      </c>
      <c r="L33">
        <v>35235</v>
      </c>
      <c r="M33">
        <v>15263</v>
      </c>
      <c r="N33">
        <v>119849</v>
      </c>
      <c r="O33">
        <v>15531</v>
      </c>
      <c r="P33">
        <v>229884</v>
      </c>
      <c r="Q33">
        <v>65240</v>
      </c>
      <c r="R33">
        <v>50220</v>
      </c>
      <c r="S33">
        <v>2714</v>
      </c>
      <c r="T33">
        <v>957</v>
      </c>
      <c r="U33">
        <v>91840</v>
      </c>
      <c r="V33">
        <v>1832</v>
      </c>
      <c r="W33">
        <v>4226659</v>
      </c>
    </row>
    <row r="34" spans="1:23" x14ac:dyDescent="0.3">
      <c r="A34" t="s">
        <v>243</v>
      </c>
      <c r="B34" t="s">
        <v>257</v>
      </c>
      <c r="C34" t="s">
        <v>263</v>
      </c>
      <c r="D34">
        <v>5695</v>
      </c>
      <c r="E34">
        <v>73886</v>
      </c>
      <c r="F34">
        <v>44812</v>
      </c>
      <c r="G34">
        <v>52150</v>
      </c>
      <c r="H34">
        <v>3513</v>
      </c>
      <c r="I34">
        <v>66940</v>
      </c>
      <c r="J34">
        <v>3364271</v>
      </c>
      <c r="K34">
        <v>1367</v>
      </c>
      <c r="L34">
        <v>35405</v>
      </c>
      <c r="M34">
        <v>15337</v>
      </c>
      <c r="N34">
        <v>120427</v>
      </c>
      <c r="O34">
        <v>15606</v>
      </c>
      <c r="P34">
        <v>230778</v>
      </c>
      <c r="Q34">
        <v>65554</v>
      </c>
      <c r="R34">
        <v>50462</v>
      </c>
      <c r="S34">
        <v>2717</v>
      </c>
      <c r="T34">
        <v>958</v>
      </c>
      <c r="U34">
        <v>92262</v>
      </c>
      <c r="V34">
        <v>1834</v>
      </c>
      <c r="W34">
        <v>4243974</v>
      </c>
    </row>
    <row r="35" spans="1:23" x14ac:dyDescent="0.3">
      <c r="A35" t="s">
        <v>243</v>
      </c>
      <c r="B35" t="s">
        <v>257</v>
      </c>
      <c r="C35" t="s">
        <v>262</v>
      </c>
      <c r="D35">
        <v>5722</v>
      </c>
      <c r="E35">
        <v>74190</v>
      </c>
      <c r="F35">
        <v>44855</v>
      </c>
      <c r="G35">
        <v>52401</v>
      </c>
      <c r="H35">
        <v>3516</v>
      </c>
      <c r="I35">
        <v>67004</v>
      </c>
      <c r="J35">
        <v>3378098</v>
      </c>
      <c r="K35">
        <v>1388</v>
      </c>
      <c r="L35">
        <v>35575</v>
      </c>
      <c r="M35">
        <v>15410</v>
      </c>
      <c r="N35">
        <v>121005</v>
      </c>
      <c r="O35">
        <v>15680</v>
      </c>
      <c r="P35">
        <v>231672</v>
      </c>
      <c r="Q35">
        <v>65869</v>
      </c>
      <c r="R35">
        <v>50704</v>
      </c>
      <c r="S35">
        <v>2719</v>
      </c>
      <c r="T35">
        <v>959</v>
      </c>
      <c r="U35">
        <v>92684</v>
      </c>
      <c r="V35">
        <v>1836</v>
      </c>
      <c r="W35">
        <v>4261287</v>
      </c>
    </row>
    <row r="36" spans="1:23" x14ac:dyDescent="0.3">
      <c r="A36" t="s">
        <v>243</v>
      </c>
      <c r="B36" t="s">
        <v>257</v>
      </c>
      <c r="C36" t="s">
        <v>261</v>
      </c>
      <c r="D36">
        <v>5750</v>
      </c>
      <c r="E36">
        <v>74493</v>
      </c>
      <c r="F36">
        <v>44898</v>
      </c>
      <c r="G36">
        <v>52651</v>
      </c>
      <c r="H36">
        <v>3520</v>
      </c>
      <c r="I36">
        <v>67068</v>
      </c>
      <c r="J36">
        <v>3391926</v>
      </c>
      <c r="K36">
        <v>1409</v>
      </c>
      <c r="L36">
        <v>35745</v>
      </c>
      <c r="M36">
        <v>15484</v>
      </c>
      <c r="N36">
        <v>121583</v>
      </c>
      <c r="O36">
        <v>15755</v>
      </c>
      <c r="P36">
        <v>232565</v>
      </c>
      <c r="Q36">
        <v>66184</v>
      </c>
      <c r="R36">
        <v>50946</v>
      </c>
      <c r="S36">
        <v>2722</v>
      </c>
      <c r="T36">
        <v>960</v>
      </c>
      <c r="U36">
        <v>93106</v>
      </c>
      <c r="V36">
        <v>1838</v>
      </c>
      <c r="W36">
        <v>4278603</v>
      </c>
    </row>
    <row r="37" spans="1:23" x14ac:dyDescent="0.3">
      <c r="A37" t="s">
        <v>243</v>
      </c>
      <c r="B37" t="s">
        <v>257</v>
      </c>
      <c r="C37" t="s">
        <v>260</v>
      </c>
      <c r="D37">
        <v>5806</v>
      </c>
      <c r="E37">
        <v>75175</v>
      </c>
      <c r="F37">
        <v>45102</v>
      </c>
      <c r="G37">
        <v>53161</v>
      </c>
      <c r="H37">
        <v>3536</v>
      </c>
      <c r="I37">
        <v>67373</v>
      </c>
      <c r="J37">
        <v>3422973</v>
      </c>
      <c r="K37">
        <v>1450</v>
      </c>
      <c r="L37">
        <v>36091</v>
      </c>
      <c r="M37">
        <v>15634</v>
      </c>
      <c r="N37">
        <v>122761</v>
      </c>
      <c r="O37">
        <v>15908</v>
      </c>
      <c r="P37">
        <v>234651</v>
      </c>
      <c r="Q37">
        <v>66825</v>
      </c>
      <c r="R37">
        <v>51440</v>
      </c>
      <c r="S37">
        <v>2734</v>
      </c>
      <c r="T37">
        <v>964</v>
      </c>
      <c r="U37">
        <v>93992</v>
      </c>
      <c r="V37">
        <v>1846</v>
      </c>
      <c r="W37">
        <v>4317422</v>
      </c>
    </row>
    <row r="38" spans="1:23" x14ac:dyDescent="0.3">
      <c r="A38" t="s">
        <v>243</v>
      </c>
      <c r="B38" t="s">
        <v>257</v>
      </c>
      <c r="C38" t="s">
        <v>259</v>
      </c>
      <c r="D38">
        <v>5847</v>
      </c>
      <c r="E38">
        <v>75668</v>
      </c>
      <c r="F38">
        <v>45226</v>
      </c>
      <c r="G38">
        <v>53541</v>
      </c>
      <c r="H38">
        <v>3546</v>
      </c>
      <c r="I38">
        <v>67557</v>
      </c>
      <c r="J38">
        <v>3445410</v>
      </c>
      <c r="K38">
        <v>1481</v>
      </c>
      <c r="L38">
        <v>36350</v>
      </c>
      <c r="M38">
        <v>15746</v>
      </c>
      <c r="N38">
        <v>123639</v>
      </c>
      <c r="O38">
        <v>16022</v>
      </c>
      <c r="P38">
        <v>236140</v>
      </c>
      <c r="Q38">
        <v>67302</v>
      </c>
      <c r="R38">
        <v>51807</v>
      </c>
      <c r="S38">
        <v>2742</v>
      </c>
      <c r="T38">
        <v>967</v>
      </c>
      <c r="U38">
        <v>94645</v>
      </c>
      <c r="V38">
        <v>1851</v>
      </c>
      <c r="W38">
        <v>4345487</v>
      </c>
    </row>
    <row r="39" spans="1:23" x14ac:dyDescent="0.3">
      <c r="A39" t="s">
        <v>243</v>
      </c>
      <c r="B39" t="s">
        <v>257</v>
      </c>
      <c r="C39" t="s">
        <v>258</v>
      </c>
      <c r="D39">
        <v>5889</v>
      </c>
      <c r="E39">
        <v>76161</v>
      </c>
      <c r="F39">
        <v>45349</v>
      </c>
      <c r="G39">
        <v>53921</v>
      </c>
      <c r="H39">
        <v>3555</v>
      </c>
      <c r="I39">
        <v>67742</v>
      </c>
      <c r="J39">
        <v>3467848</v>
      </c>
      <c r="K39">
        <v>1511</v>
      </c>
      <c r="L39">
        <v>36608</v>
      </c>
      <c r="M39">
        <v>15858</v>
      </c>
      <c r="N39">
        <v>124516</v>
      </c>
      <c r="O39">
        <v>16135</v>
      </c>
      <c r="P39">
        <v>237630</v>
      </c>
      <c r="Q39">
        <v>67780</v>
      </c>
      <c r="R39">
        <v>52175</v>
      </c>
      <c r="S39">
        <v>2749</v>
      </c>
      <c r="T39">
        <v>969</v>
      </c>
      <c r="U39">
        <v>95299</v>
      </c>
      <c r="V39">
        <v>1856</v>
      </c>
      <c r="W39">
        <v>4373551</v>
      </c>
    </row>
    <row r="40" spans="1:23" x14ac:dyDescent="0.3">
      <c r="A40" t="s">
        <v>243</v>
      </c>
      <c r="B40" t="s">
        <v>257</v>
      </c>
      <c r="C40" t="s">
        <v>256</v>
      </c>
      <c r="D40">
        <v>5994</v>
      </c>
      <c r="E40">
        <v>77504</v>
      </c>
      <c r="F40">
        <v>45835</v>
      </c>
      <c r="G40">
        <v>54886</v>
      </c>
      <c r="H40">
        <v>3593</v>
      </c>
      <c r="I40">
        <v>68468</v>
      </c>
      <c r="J40">
        <v>3529028</v>
      </c>
      <c r="K40">
        <v>1586</v>
      </c>
      <c r="L40">
        <v>37262</v>
      </c>
      <c r="M40">
        <v>16141</v>
      </c>
      <c r="N40">
        <v>126743</v>
      </c>
      <c r="O40">
        <v>16424</v>
      </c>
      <c r="P40">
        <v>241802</v>
      </c>
      <c r="Q40">
        <v>68992</v>
      </c>
      <c r="R40">
        <v>53108</v>
      </c>
      <c r="S40">
        <v>2779</v>
      </c>
      <c r="T40">
        <v>980</v>
      </c>
      <c r="U40">
        <v>96996</v>
      </c>
      <c r="V40">
        <v>1876</v>
      </c>
      <c r="W40">
        <v>4449997</v>
      </c>
    </row>
    <row r="41" spans="1:23" x14ac:dyDescent="0.3">
      <c r="A41" t="s">
        <v>243</v>
      </c>
      <c r="B41" t="s">
        <v>242</v>
      </c>
      <c r="C41" t="s">
        <v>255</v>
      </c>
      <c r="D41">
        <v>5954</v>
      </c>
      <c r="E41">
        <v>76914</v>
      </c>
      <c r="F41">
        <v>45497</v>
      </c>
      <c r="G41">
        <v>54522</v>
      </c>
      <c r="H41">
        <v>3567</v>
      </c>
      <c r="I41">
        <v>67963</v>
      </c>
      <c r="J41">
        <v>3502140</v>
      </c>
      <c r="K41">
        <v>1561</v>
      </c>
      <c r="L41">
        <v>37015</v>
      </c>
      <c r="M41">
        <v>16034</v>
      </c>
      <c r="N41">
        <v>125904</v>
      </c>
      <c r="O41">
        <v>16315</v>
      </c>
      <c r="P41">
        <v>239877</v>
      </c>
      <c r="Q41">
        <v>68535</v>
      </c>
      <c r="R41">
        <v>52756</v>
      </c>
      <c r="S41">
        <v>2758</v>
      </c>
      <c r="T41">
        <v>972</v>
      </c>
      <c r="U41">
        <v>96322</v>
      </c>
      <c r="V41">
        <v>1862</v>
      </c>
      <c r="W41">
        <v>4416468</v>
      </c>
    </row>
    <row r="42" spans="1:23" x14ac:dyDescent="0.3">
      <c r="A42" t="s">
        <v>243</v>
      </c>
      <c r="B42" t="s">
        <v>242</v>
      </c>
      <c r="C42" t="s">
        <v>254</v>
      </c>
      <c r="D42">
        <v>5971</v>
      </c>
      <c r="E42">
        <v>77078</v>
      </c>
      <c r="F42">
        <v>45480</v>
      </c>
      <c r="G42">
        <v>54676</v>
      </c>
      <c r="H42">
        <v>3566</v>
      </c>
      <c r="I42">
        <v>67938</v>
      </c>
      <c r="J42">
        <v>3509600</v>
      </c>
      <c r="K42">
        <v>1575</v>
      </c>
      <c r="L42">
        <v>37120</v>
      </c>
      <c r="M42">
        <v>16080</v>
      </c>
      <c r="N42">
        <v>126260</v>
      </c>
      <c r="O42">
        <v>16361</v>
      </c>
      <c r="P42">
        <v>240329</v>
      </c>
      <c r="Q42">
        <v>68729</v>
      </c>
      <c r="R42">
        <v>52906</v>
      </c>
      <c r="S42">
        <v>2757</v>
      </c>
      <c r="T42">
        <v>972</v>
      </c>
      <c r="U42">
        <v>96572</v>
      </c>
      <c r="V42">
        <v>1862</v>
      </c>
      <c r="W42">
        <v>4425832</v>
      </c>
    </row>
    <row r="43" spans="1:23" x14ac:dyDescent="0.3">
      <c r="A43" t="s">
        <v>243</v>
      </c>
      <c r="B43" t="s">
        <v>242</v>
      </c>
      <c r="C43" t="s">
        <v>253</v>
      </c>
      <c r="D43">
        <v>5988</v>
      </c>
      <c r="E43">
        <v>77242</v>
      </c>
      <c r="F43">
        <v>45464</v>
      </c>
      <c r="G43">
        <v>54830</v>
      </c>
      <c r="H43">
        <v>3564</v>
      </c>
      <c r="I43">
        <v>67913</v>
      </c>
      <c r="J43">
        <v>3517060</v>
      </c>
      <c r="K43">
        <v>1588</v>
      </c>
      <c r="L43">
        <v>37225</v>
      </c>
      <c r="M43">
        <v>16125</v>
      </c>
      <c r="N43">
        <v>126616</v>
      </c>
      <c r="O43">
        <v>16407</v>
      </c>
      <c r="P43">
        <v>240782</v>
      </c>
      <c r="Q43">
        <v>68923</v>
      </c>
      <c r="R43">
        <v>53055</v>
      </c>
      <c r="S43">
        <v>2756</v>
      </c>
      <c r="T43">
        <v>972</v>
      </c>
      <c r="U43">
        <v>96823</v>
      </c>
      <c r="V43">
        <v>1861</v>
      </c>
      <c r="W43">
        <v>4435194</v>
      </c>
    </row>
    <row r="44" spans="1:23" x14ac:dyDescent="0.3">
      <c r="A44" t="s">
        <v>243</v>
      </c>
      <c r="B44" t="s">
        <v>242</v>
      </c>
      <c r="C44" t="s">
        <v>252</v>
      </c>
      <c r="D44">
        <v>6005</v>
      </c>
      <c r="E44">
        <v>77405</v>
      </c>
      <c r="F44">
        <v>45447</v>
      </c>
      <c r="G44">
        <v>54985</v>
      </c>
      <c r="H44">
        <v>3563</v>
      </c>
      <c r="I44">
        <v>67888</v>
      </c>
      <c r="J44">
        <v>3524521</v>
      </c>
      <c r="K44">
        <v>1602</v>
      </c>
      <c r="L44">
        <v>37330</v>
      </c>
      <c r="M44">
        <v>16170</v>
      </c>
      <c r="N44">
        <v>126972</v>
      </c>
      <c r="O44">
        <v>16454</v>
      </c>
      <c r="P44">
        <v>241234</v>
      </c>
      <c r="Q44">
        <v>69117</v>
      </c>
      <c r="R44">
        <v>53204</v>
      </c>
      <c r="S44">
        <v>2755</v>
      </c>
      <c r="T44">
        <v>972</v>
      </c>
      <c r="U44">
        <v>97074</v>
      </c>
      <c r="V44">
        <v>1860</v>
      </c>
      <c r="W44">
        <v>4444558</v>
      </c>
    </row>
    <row r="45" spans="1:23" x14ac:dyDescent="0.3">
      <c r="A45" t="s">
        <v>243</v>
      </c>
      <c r="B45" t="s">
        <v>242</v>
      </c>
      <c r="C45" t="s">
        <v>251</v>
      </c>
      <c r="D45">
        <v>6056</v>
      </c>
      <c r="E45">
        <v>78026</v>
      </c>
      <c r="F45">
        <v>45625</v>
      </c>
      <c r="G45">
        <v>55453</v>
      </c>
      <c r="H45">
        <v>3577</v>
      </c>
      <c r="I45">
        <v>68154</v>
      </c>
      <c r="J45">
        <v>3552788</v>
      </c>
      <c r="K45">
        <v>1640</v>
      </c>
      <c r="L45">
        <v>37647</v>
      </c>
      <c r="M45">
        <v>16308</v>
      </c>
      <c r="N45">
        <v>128053</v>
      </c>
      <c r="O45">
        <v>16594</v>
      </c>
      <c r="P45">
        <v>243128</v>
      </c>
      <c r="Q45">
        <v>69706</v>
      </c>
      <c r="R45">
        <v>53657</v>
      </c>
      <c r="S45">
        <v>2766</v>
      </c>
      <c r="T45">
        <v>975</v>
      </c>
      <c r="U45">
        <v>97884</v>
      </c>
      <c r="V45">
        <v>1867</v>
      </c>
      <c r="W45">
        <v>4479904</v>
      </c>
    </row>
    <row r="46" spans="1:23" x14ac:dyDescent="0.3">
      <c r="A46" t="s">
        <v>243</v>
      </c>
      <c r="B46" t="s">
        <v>242</v>
      </c>
      <c r="C46" t="s">
        <v>250</v>
      </c>
      <c r="D46">
        <v>6090</v>
      </c>
      <c r="E46">
        <v>78418</v>
      </c>
      <c r="F46">
        <v>45706</v>
      </c>
      <c r="G46">
        <v>55764</v>
      </c>
      <c r="H46">
        <v>3583</v>
      </c>
      <c r="I46">
        <v>68275</v>
      </c>
      <c r="J46">
        <v>3570651</v>
      </c>
      <c r="K46">
        <v>1665</v>
      </c>
      <c r="L46">
        <v>37859</v>
      </c>
      <c r="M46">
        <v>16400</v>
      </c>
      <c r="N46">
        <v>128772</v>
      </c>
      <c r="O46">
        <v>16687</v>
      </c>
      <c r="P46">
        <v>244301</v>
      </c>
      <c r="Q46">
        <v>70097</v>
      </c>
      <c r="R46">
        <v>53958</v>
      </c>
      <c r="S46">
        <v>2771</v>
      </c>
      <c r="T46">
        <v>977</v>
      </c>
      <c r="U46">
        <v>98415</v>
      </c>
      <c r="V46">
        <v>1871</v>
      </c>
      <c r="W46">
        <v>4502260</v>
      </c>
    </row>
    <row r="47" spans="1:23" x14ac:dyDescent="0.3">
      <c r="A47" t="s">
        <v>243</v>
      </c>
      <c r="B47" t="s">
        <v>242</v>
      </c>
      <c r="C47" t="s">
        <v>249</v>
      </c>
      <c r="D47">
        <v>6124</v>
      </c>
      <c r="E47">
        <v>78811</v>
      </c>
      <c r="F47">
        <v>45786</v>
      </c>
      <c r="G47">
        <v>56075</v>
      </c>
      <c r="H47">
        <v>3590</v>
      </c>
      <c r="I47">
        <v>68395</v>
      </c>
      <c r="J47">
        <v>3588514</v>
      </c>
      <c r="K47">
        <v>1691</v>
      </c>
      <c r="L47">
        <v>38070</v>
      </c>
      <c r="M47">
        <v>16491</v>
      </c>
      <c r="N47">
        <v>129490</v>
      </c>
      <c r="O47">
        <v>16780</v>
      </c>
      <c r="P47">
        <v>245474</v>
      </c>
      <c r="Q47">
        <v>70488</v>
      </c>
      <c r="R47">
        <v>54259</v>
      </c>
      <c r="S47">
        <v>2776</v>
      </c>
      <c r="T47">
        <v>979</v>
      </c>
      <c r="U47">
        <v>98946</v>
      </c>
      <c r="V47">
        <v>1874</v>
      </c>
      <c r="W47">
        <v>4524613</v>
      </c>
    </row>
    <row r="48" spans="1:23" x14ac:dyDescent="0.3">
      <c r="A48" t="s">
        <v>243</v>
      </c>
      <c r="B48" t="s">
        <v>242</v>
      </c>
      <c r="C48" t="s">
        <v>248</v>
      </c>
      <c r="D48">
        <v>6158</v>
      </c>
      <c r="E48">
        <v>79203</v>
      </c>
      <c r="F48">
        <v>45867</v>
      </c>
      <c r="G48">
        <v>56386</v>
      </c>
      <c r="H48">
        <v>3596</v>
      </c>
      <c r="I48">
        <v>68516</v>
      </c>
      <c r="J48">
        <v>3606378</v>
      </c>
      <c r="K48">
        <v>1717</v>
      </c>
      <c r="L48">
        <v>38281</v>
      </c>
      <c r="M48">
        <v>16583</v>
      </c>
      <c r="N48">
        <v>130209</v>
      </c>
      <c r="O48">
        <v>16873</v>
      </c>
      <c r="P48">
        <v>246647</v>
      </c>
      <c r="Q48">
        <v>70879</v>
      </c>
      <c r="R48">
        <v>54560</v>
      </c>
      <c r="S48">
        <v>2781</v>
      </c>
      <c r="T48">
        <v>980</v>
      </c>
      <c r="U48">
        <v>99476</v>
      </c>
      <c r="V48">
        <v>1877</v>
      </c>
      <c r="W48">
        <v>4546967</v>
      </c>
    </row>
    <row r="49" spans="1:23" x14ac:dyDescent="0.3">
      <c r="A49" t="s">
        <v>243</v>
      </c>
      <c r="B49" t="s">
        <v>242</v>
      </c>
      <c r="C49" t="s">
        <v>247</v>
      </c>
      <c r="D49">
        <v>6192</v>
      </c>
      <c r="E49">
        <v>79595</v>
      </c>
      <c r="F49">
        <v>45948</v>
      </c>
      <c r="G49">
        <v>56698</v>
      </c>
      <c r="H49">
        <v>3602</v>
      </c>
      <c r="I49">
        <v>68636</v>
      </c>
      <c r="J49">
        <v>3624242</v>
      </c>
      <c r="K49">
        <v>1742</v>
      </c>
      <c r="L49">
        <v>38492</v>
      </c>
      <c r="M49">
        <v>16674</v>
      </c>
      <c r="N49">
        <v>130927</v>
      </c>
      <c r="O49">
        <v>16966</v>
      </c>
      <c r="P49">
        <v>247820</v>
      </c>
      <c r="Q49">
        <v>71270</v>
      </c>
      <c r="R49">
        <v>54862</v>
      </c>
      <c r="S49">
        <v>2786</v>
      </c>
      <c r="T49">
        <v>982</v>
      </c>
      <c r="U49">
        <v>100007</v>
      </c>
      <c r="V49">
        <v>1881</v>
      </c>
      <c r="W49">
        <v>4569322</v>
      </c>
    </row>
    <row r="50" spans="1:23" x14ac:dyDescent="0.3">
      <c r="A50" t="s">
        <v>243</v>
      </c>
      <c r="B50" t="s">
        <v>242</v>
      </c>
      <c r="C50" t="s">
        <v>246</v>
      </c>
      <c r="D50">
        <v>6260</v>
      </c>
      <c r="E50">
        <v>80445</v>
      </c>
      <c r="F50">
        <v>46223</v>
      </c>
      <c r="G50">
        <v>57322</v>
      </c>
      <c r="H50">
        <v>3624</v>
      </c>
      <c r="I50">
        <v>69047</v>
      </c>
      <c r="J50">
        <v>3662911</v>
      </c>
      <c r="K50">
        <v>1792</v>
      </c>
      <c r="L50">
        <v>38917</v>
      </c>
      <c r="M50">
        <v>16858</v>
      </c>
      <c r="N50">
        <v>132370</v>
      </c>
      <c r="O50">
        <v>17153</v>
      </c>
      <c r="P50">
        <v>250433</v>
      </c>
      <c r="Q50">
        <v>72056</v>
      </c>
      <c r="R50">
        <v>55466</v>
      </c>
      <c r="S50">
        <v>2802</v>
      </c>
      <c r="T50">
        <v>988</v>
      </c>
      <c r="U50">
        <v>101098</v>
      </c>
      <c r="V50">
        <v>1892</v>
      </c>
      <c r="W50">
        <v>4617657</v>
      </c>
    </row>
    <row r="51" spans="1:23" x14ac:dyDescent="0.3">
      <c r="A51" t="s">
        <v>243</v>
      </c>
      <c r="B51" t="s">
        <v>242</v>
      </c>
      <c r="C51" t="s">
        <v>245</v>
      </c>
      <c r="D51">
        <v>6311</v>
      </c>
      <c r="E51">
        <v>81066</v>
      </c>
      <c r="F51">
        <v>46401</v>
      </c>
      <c r="G51">
        <v>57790</v>
      </c>
      <c r="H51">
        <v>3638</v>
      </c>
      <c r="I51">
        <v>69313</v>
      </c>
      <c r="J51">
        <v>3691178</v>
      </c>
      <c r="K51">
        <v>1829</v>
      </c>
      <c r="L51">
        <v>39234</v>
      </c>
      <c r="M51">
        <v>16996</v>
      </c>
      <c r="N51">
        <v>133451</v>
      </c>
      <c r="O51">
        <v>17293</v>
      </c>
      <c r="P51">
        <v>252326</v>
      </c>
      <c r="Q51">
        <v>72644</v>
      </c>
      <c r="R51">
        <v>55919</v>
      </c>
      <c r="S51">
        <v>2813</v>
      </c>
      <c r="T51">
        <v>992</v>
      </c>
      <c r="U51">
        <v>101908</v>
      </c>
      <c r="V51">
        <v>1899</v>
      </c>
      <c r="W51">
        <v>4653001</v>
      </c>
    </row>
    <row r="52" spans="1:23" x14ac:dyDescent="0.3">
      <c r="A52" t="s">
        <v>243</v>
      </c>
      <c r="B52" t="s">
        <v>242</v>
      </c>
      <c r="C52" t="s">
        <v>244</v>
      </c>
      <c r="D52">
        <v>6362</v>
      </c>
      <c r="E52">
        <v>81686</v>
      </c>
      <c r="F52">
        <v>46579</v>
      </c>
      <c r="G52">
        <v>58258</v>
      </c>
      <c r="H52">
        <v>3652</v>
      </c>
      <c r="I52">
        <v>69579</v>
      </c>
      <c r="J52">
        <v>3719445</v>
      </c>
      <c r="K52">
        <v>1866</v>
      </c>
      <c r="L52">
        <v>39552</v>
      </c>
      <c r="M52">
        <v>17133</v>
      </c>
      <c r="N52">
        <v>134532</v>
      </c>
      <c r="O52">
        <v>17433</v>
      </c>
      <c r="P52">
        <v>254220</v>
      </c>
      <c r="Q52">
        <v>73232</v>
      </c>
      <c r="R52">
        <v>56372</v>
      </c>
      <c r="S52">
        <v>2824</v>
      </c>
      <c r="T52">
        <v>996</v>
      </c>
      <c r="U52">
        <v>102719</v>
      </c>
      <c r="V52">
        <v>1906</v>
      </c>
      <c r="W52">
        <v>4688346</v>
      </c>
    </row>
    <row r="53" spans="1:23" x14ac:dyDescent="0.3">
      <c r="A53" t="s">
        <v>243</v>
      </c>
      <c r="B53" t="s">
        <v>242</v>
      </c>
      <c r="C53" t="s">
        <v>241</v>
      </c>
      <c r="D53">
        <v>6490</v>
      </c>
      <c r="E53">
        <v>83335</v>
      </c>
      <c r="F53">
        <v>47195</v>
      </c>
      <c r="G53">
        <v>59432</v>
      </c>
      <c r="H53">
        <v>3700</v>
      </c>
      <c r="I53">
        <v>70499</v>
      </c>
      <c r="J53">
        <v>3794525</v>
      </c>
      <c r="K53">
        <v>1957</v>
      </c>
      <c r="L53">
        <v>40349</v>
      </c>
      <c r="M53">
        <v>17478</v>
      </c>
      <c r="N53">
        <v>137243</v>
      </c>
      <c r="O53">
        <v>17784</v>
      </c>
      <c r="P53">
        <v>259355</v>
      </c>
      <c r="Q53">
        <v>74708</v>
      </c>
      <c r="R53">
        <v>57508</v>
      </c>
      <c r="S53">
        <v>2861</v>
      </c>
      <c r="T53">
        <v>1009</v>
      </c>
      <c r="U53">
        <v>104790</v>
      </c>
      <c r="V53">
        <v>1932</v>
      </c>
      <c r="W53">
        <v>4782150</v>
      </c>
    </row>
    <row r="54" spans="1:23" x14ac:dyDescent="0.3">
      <c r="A54" t="s">
        <v>186</v>
      </c>
      <c r="B54" t="s">
        <v>228</v>
      </c>
      <c r="C54" t="s">
        <v>240</v>
      </c>
      <c r="D54">
        <v>6435</v>
      </c>
      <c r="E54">
        <v>82494</v>
      </c>
      <c r="F54">
        <v>46676</v>
      </c>
      <c r="G54">
        <v>58922</v>
      </c>
      <c r="H54">
        <v>3659</v>
      </c>
      <c r="I54">
        <v>69724</v>
      </c>
      <c r="J54">
        <v>3756248</v>
      </c>
      <c r="K54">
        <v>2006</v>
      </c>
      <c r="L54">
        <v>40003</v>
      </c>
      <c r="M54">
        <v>17328</v>
      </c>
      <c r="N54">
        <v>136066</v>
      </c>
      <c r="O54">
        <v>17632</v>
      </c>
      <c r="P54">
        <v>256558</v>
      </c>
      <c r="Q54">
        <v>74067</v>
      </c>
      <c r="R54">
        <v>57015</v>
      </c>
      <c r="S54">
        <v>2830</v>
      </c>
      <c r="T54">
        <v>998</v>
      </c>
      <c r="U54">
        <v>103832</v>
      </c>
      <c r="V54">
        <v>1910</v>
      </c>
      <c r="W54">
        <v>4734403</v>
      </c>
    </row>
    <row r="55" spans="1:23" x14ac:dyDescent="0.3">
      <c r="A55" t="s">
        <v>186</v>
      </c>
      <c r="B55" t="s">
        <v>228</v>
      </c>
      <c r="C55" t="s">
        <v>239</v>
      </c>
      <c r="D55">
        <v>6446</v>
      </c>
      <c r="E55">
        <v>82582</v>
      </c>
      <c r="F55">
        <v>46604</v>
      </c>
      <c r="G55">
        <v>59030</v>
      </c>
      <c r="H55">
        <v>3654</v>
      </c>
      <c r="I55">
        <v>69616</v>
      </c>
      <c r="J55">
        <v>3760249</v>
      </c>
      <c r="K55">
        <v>2059</v>
      </c>
      <c r="L55">
        <v>40076</v>
      </c>
      <c r="M55">
        <v>17360</v>
      </c>
      <c r="N55">
        <v>136316</v>
      </c>
      <c r="O55">
        <v>17664</v>
      </c>
      <c r="P55">
        <v>256741</v>
      </c>
      <c r="Q55">
        <v>74203</v>
      </c>
      <c r="R55">
        <v>57119</v>
      </c>
      <c r="S55">
        <v>2825</v>
      </c>
      <c r="T55">
        <v>996</v>
      </c>
      <c r="U55">
        <v>103992</v>
      </c>
      <c r="V55">
        <v>1908</v>
      </c>
      <c r="W55">
        <v>4739440</v>
      </c>
    </row>
    <row r="56" spans="1:23" x14ac:dyDescent="0.3">
      <c r="A56" t="s">
        <v>186</v>
      </c>
      <c r="B56" t="s">
        <v>228</v>
      </c>
      <c r="C56" t="s">
        <v>238</v>
      </c>
      <c r="D56">
        <v>6458</v>
      </c>
      <c r="E56">
        <v>82670</v>
      </c>
      <c r="F56">
        <v>46532</v>
      </c>
      <c r="G56">
        <v>59137</v>
      </c>
      <c r="H56">
        <v>3648</v>
      </c>
      <c r="I56">
        <v>69509</v>
      </c>
      <c r="J56">
        <v>3764250</v>
      </c>
      <c r="K56">
        <v>2112</v>
      </c>
      <c r="L56">
        <v>40150</v>
      </c>
      <c r="M56">
        <v>17392</v>
      </c>
      <c r="N56">
        <v>136565</v>
      </c>
      <c r="O56">
        <v>17697</v>
      </c>
      <c r="P56">
        <v>256924</v>
      </c>
      <c r="Q56">
        <v>74339</v>
      </c>
      <c r="R56">
        <v>57224</v>
      </c>
      <c r="S56">
        <v>2821</v>
      </c>
      <c r="T56">
        <v>995</v>
      </c>
      <c r="U56">
        <v>104153</v>
      </c>
      <c r="V56">
        <v>1905</v>
      </c>
      <c r="W56">
        <v>4744481</v>
      </c>
    </row>
    <row r="57" spans="1:23" x14ac:dyDescent="0.3">
      <c r="A57" t="s">
        <v>186</v>
      </c>
      <c r="B57" t="s">
        <v>228</v>
      </c>
      <c r="C57" t="s">
        <v>237</v>
      </c>
      <c r="D57">
        <v>6470</v>
      </c>
      <c r="E57">
        <v>82758</v>
      </c>
      <c r="F57">
        <v>46460</v>
      </c>
      <c r="G57">
        <v>59245</v>
      </c>
      <c r="H57">
        <v>3642</v>
      </c>
      <c r="I57">
        <v>69401</v>
      </c>
      <c r="J57">
        <v>3768250</v>
      </c>
      <c r="K57">
        <v>2165</v>
      </c>
      <c r="L57">
        <v>40223</v>
      </c>
      <c r="M57">
        <v>17424</v>
      </c>
      <c r="N57">
        <v>136815</v>
      </c>
      <c r="O57">
        <v>17729</v>
      </c>
      <c r="P57">
        <v>257106</v>
      </c>
      <c r="Q57">
        <v>74475</v>
      </c>
      <c r="R57">
        <v>57328</v>
      </c>
      <c r="S57">
        <v>2816</v>
      </c>
      <c r="T57">
        <v>993</v>
      </c>
      <c r="U57">
        <v>104313</v>
      </c>
      <c r="V57">
        <v>1902</v>
      </c>
      <c r="W57">
        <v>4749515</v>
      </c>
    </row>
    <row r="58" spans="1:23" x14ac:dyDescent="0.3">
      <c r="A58" t="s">
        <v>186</v>
      </c>
      <c r="B58" t="s">
        <v>228</v>
      </c>
      <c r="C58" t="s">
        <v>236</v>
      </c>
      <c r="D58">
        <v>6510</v>
      </c>
      <c r="E58">
        <v>83238</v>
      </c>
      <c r="F58">
        <v>46511</v>
      </c>
      <c r="G58">
        <v>59614</v>
      </c>
      <c r="H58">
        <v>3646</v>
      </c>
      <c r="I58">
        <v>69478</v>
      </c>
      <c r="J58">
        <v>3790111</v>
      </c>
      <c r="K58">
        <v>2307</v>
      </c>
      <c r="L58">
        <v>40475</v>
      </c>
      <c r="M58">
        <v>17533</v>
      </c>
      <c r="N58">
        <v>137671</v>
      </c>
      <c r="O58">
        <v>17840</v>
      </c>
      <c r="P58">
        <v>258495</v>
      </c>
      <c r="Q58">
        <v>74941</v>
      </c>
      <c r="R58">
        <v>57687</v>
      </c>
      <c r="S58">
        <v>2820</v>
      </c>
      <c r="T58">
        <v>994</v>
      </c>
      <c r="U58">
        <v>104941</v>
      </c>
      <c r="V58">
        <v>1904</v>
      </c>
      <c r="W58">
        <v>4776716</v>
      </c>
    </row>
    <row r="59" spans="1:23" x14ac:dyDescent="0.3">
      <c r="A59" t="s">
        <v>186</v>
      </c>
      <c r="B59" t="s">
        <v>228</v>
      </c>
      <c r="C59" t="s">
        <v>235</v>
      </c>
      <c r="D59">
        <v>6536</v>
      </c>
      <c r="E59">
        <v>83522</v>
      </c>
      <c r="F59">
        <v>46501</v>
      </c>
      <c r="G59">
        <v>59853</v>
      </c>
      <c r="H59">
        <v>3646</v>
      </c>
      <c r="I59">
        <v>69463</v>
      </c>
      <c r="J59">
        <v>3803042</v>
      </c>
      <c r="K59">
        <v>2404</v>
      </c>
      <c r="L59">
        <v>40638</v>
      </c>
      <c r="M59">
        <v>17603</v>
      </c>
      <c r="N59">
        <v>138224</v>
      </c>
      <c r="O59">
        <v>17912</v>
      </c>
      <c r="P59">
        <v>259281</v>
      </c>
      <c r="Q59">
        <v>75242</v>
      </c>
      <c r="R59">
        <v>57919</v>
      </c>
      <c r="S59">
        <v>2819</v>
      </c>
      <c r="T59">
        <v>994</v>
      </c>
      <c r="U59">
        <v>105336</v>
      </c>
      <c r="V59">
        <v>1903</v>
      </c>
      <c r="W59">
        <v>4792838</v>
      </c>
    </row>
    <row r="60" spans="1:23" x14ac:dyDescent="0.3">
      <c r="A60" t="s">
        <v>186</v>
      </c>
      <c r="B60" t="s">
        <v>228</v>
      </c>
      <c r="C60" t="s">
        <v>234</v>
      </c>
      <c r="D60">
        <v>6562</v>
      </c>
      <c r="E60">
        <v>83806</v>
      </c>
      <c r="F60">
        <v>46491</v>
      </c>
      <c r="G60">
        <v>60091</v>
      </c>
      <c r="H60">
        <v>3645</v>
      </c>
      <c r="I60">
        <v>69448</v>
      </c>
      <c r="J60">
        <v>3815973</v>
      </c>
      <c r="K60">
        <v>2502</v>
      </c>
      <c r="L60">
        <v>40800</v>
      </c>
      <c r="M60">
        <v>17674</v>
      </c>
      <c r="N60">
        <v>138776</v>
      </c>
      <c r="O60">
        <v>17983</v>
      </c>
      <c r="P60">
        <v>260066</v>
      </c>
      <c r="Q60">
        <v>75543</v>
      </c>
      <c r="R60">
        <v>58150</v>
      </c>
      <c r="S60">
        <v>2818</v>
      </c>
      <c r="T60">
        <v>994</v>
      </c>
      <c r="U60">
        <v>105730</v>
      </c>
      <c r="V60">
        <v>1903</v>
      </c>
      <c r="W60">
        <v>4808955</v>
      </c>
    </row>
    <row r="61" spans="1:23" x14ac:dyDescent="0.3">
      <c r="A61" t="s">
        <v>186</v>
      </c>
      <c r="B61" t="s">
        <v>228</v>
      </c>
      <c r="C61" t="s">
        <v>233</v>
      </c>
      <c r="D61">
        <v>6588</v>
      </c>
      <c r="E61">
        <v>84090</v>
      </c>
      <c r="F61">
        <v>46481</v>
      </c>
      <c r="G61">
        <v>60330</v>
      </c>
      <c r="H61">
        <v>3644</v>
      </c>
      <c r="I61">
        <v>69432</v>
      </c>
      <c r="J61">
        <v>3828903</v>
      </c>
      <c r="K61">
        <v>2599</v>
      </c>
      <c r="L61">
        <v>40962</v>
      </c>
      <c r="M61">
        <v>17744</v>
      </c>
      <c r="N61">
        <v>139329</v>
      </c>
      <c r="O61">
        <v>18055</v>
      </c>
      <c r="P61">
        <v>260852</v>
      </c>
      <c r="Q61">
        <v>75844</v>
      </c>
      <c r="R61">
        <v>58382</v>
      </c>
      <c r="S61">
        <v>2818</v>
      </c>
      <c r="T61">
        <v>994</v>
      </c>
      <c r="U61">
        <v>106124</v>
      </c>
      <c r="V61">
        <v>1902</v>
      </c>
      <c r="W61">
        <v>4825073</v>
      </c>
    </row>
    <row r="62" spans="1:23" x14ac:dyDescent="0.3">
      <c r="A62" t="s">
        <v>186</v>
      </c>
      <c r="B62" t="s">
        <v>228</v>
      </c>
      <c r="C62" t="s">
        <v>232</v>
      </c>
      <c r="D62">
        <v>6614</v>
      </c>
      <c r="E62">
        <v>84374</v>
      </c>
      <c r="F62">
        <v>46471</v>
      </c>
      <c r="G62">
        <v>60568</v>
      </c>
      <c r="H62">
        <v>3643</v>
      </c>
      <c r="I62">
        <v>69417</v>
      </c>
      <c r="J62">
        <v>3841834</v>
      </c>
      <c r="K62">
        <v>2696</v>
      </c>
      <c r="L62">
        <v>41125</v>
      </c>
      <c r="M62">
        <v>17814</v>
      </c>
      <c r="N62">
        <v>139882</v>
      </c>
      <c r="O62">
        <v>18126</v>
      </c>
      <c r="P62">
        <v>261638</v>
      </c>
      <c r="Q62">
        <v>76144</v>
      </c>
      <c r="R62">
        <v>58614</v>
      </c>
      <c r="S62">
        <v>2817</v>
      </c>
      <c r="T62">
        <v>993</v>
      </c>
      <c r="U62">
        <v>106518</v>
      </c>
      <c r="V62">
        <v>1902</v>
      </c>
      <c r="W62">
        <v>4841190</v>
      </c>
    </row>
    <row r="63" spans="1:23" x14ac:dyDescent="0.3">
      <c r="A63" t="s">
        <v>186</v>
      </c>
      <c r="B63" t="s">
        <v>228</v>
      </c>
      <c r="C63" t="s">
        <v>231</v>
      </c>
      <c r="D63">
        <v>6669</v>
      </c>
      <c r="E63">
        <v>85050</v>
      </c>
      <c r="F63">
        <v>46584</v>
      </c>
      <c r="G63">
        <v>61069</v>
      </c>
      <c r="H63">
        <v>3652</v>
      </c>
      <c r="I63">
        <v>69587</v>
      </c>
      <c r="J63">
        <v>3872625</v>
      </c>
      <c r="K63">
        <v>2883</v>
      </c>
      <c r="L63">
        <v>41466</v>
      </c>
      <c r="M63">
        <v>17962</v>
      </c>
      <c r="N63">
        <v>141041</v>
      </c>
      <c r="O63">
        <v>18277</v>
      </c>
      <c r="P63">
        <v>263630</v>
      </c>
      <c r="Q63">
        <v>76776</v>
      </c>
      <c r="R63">
        <v>59100</v>
      </c>
      <c r="S63">
        <v>2824</v>
      </c>
      <c r="T63">
        <v>996</v>
      </c>
      <c r="U63">
        <v>107380</v>
      </c>
      <c r="V63">
        <v>1907</v>
      </c>
      <c r="W63">
        <v>4879478</v>
      </c>
    </row>
    <row r="64" spans="1:23" x14ac:dyDescent="0.3">
      <c r="A64" t="s">
        <v>186</v>
      </c>
      <c r="B64" t="s">
        <v>228</v>
      </c>
      <c r="C64" t="s">
        <v>230</v>
      </c>
      <c r="D64">
        <v>6710</v>
      </c>
      <c r="E64">
        <v>85530</v>
      </c>
      <c r="F64">
        <v>46635</v>
      </c>
      <c r="G64">
        <v>61439</v>
      </c>
      <c r="H64">
        <v>3656</v>
      </c>
      <c r="I64">
        <v>69664</v>
      </c>
      <c r="J64">
        <v>3894486</v>
      </c>
      <c r="K64">
        <v>3025</v>
      </c>
      <c r="L64">
        <v>41718</v>
      </c>
      <c r="M64">
        <v>18071</v>
      </c>
      <c r="N64">
        <v>141897</v>
      </c>
      <c r="O64">
        <v>18388</v>
      </c>
      <c r="P64">
        <v>265019</v>
      </c>
      <c r="Q64">
        <v>77242</v>
      </c>
      <c r="R64">
        <v>59458</v>
      </c>
      <c r="S64">
        <v>2827</v>
      </c>
      <c r="T64">
        <v>997</v>
      </c>
      <c r="U64">
        <v>108008</v>
      </c>
      <c r="V64">
        <v>1909</v>
      </c>
      <c r="W64">
        <v>4906679</v>
      </c>
    </row>
    <row r="65" spans="1:23" x14ac:dyDescent="0.3">
      <c r="A65" t="s">
        <v>186</v>
      </c>
      <c r="B65" t="s">
        <v>228</v>
      </c>
      <c r="C65" t="s">
        <v>229</v>
      </c>
      <c r="D65">
        <v>6750</v>
      </c>
      <c r="E65">
        <v>86011</v>
      </c>
      <c r="F65">
        <v>46687</v>
      </c>
      <c r="G65">
        <v>61808</v>
      </c>
      <c r="H65">
        <v>3660</v>
      </c>
      <c r="I65">
        <v>69741</v>
      </c>
      <c r="J65">
        <v>3916347</v>
      </c>
      <c r="K65">
        <v>3167</v>
      </c>
      <c r="L65">
        <v>41969</v>
      </c>
      <c r="M65">
        <v>18180</v>
      </c>
      <c r="N65">
        <v>142754</v>
      </c>
      <c r="O65">
        <v>18499</v>
      </c>
      <c r="P65">
        <v>266407</v>
      </c>
      <c r="Q65">
        <v>77708</v>
      </c>
      <c r="R65">
        <v>59817</v>
      </c>
      <c r="S65">
        <v>2830</v>
      </c>
      <c r="T65">
        <v>998</v>
      </c>
      <c r="U65">
        <v>108636</v>
      </c>
      <c r="V65">
        <v>1911</v>
      </c>
      <c r="W65">
        <v>4933880</v>
      </c>
    </row>
    <row r="66" spans="1:23" x14ac:dyDescent="0.3">
      <c r="A66" t="s">
        <v>186</v>
      </c>
      <c r="B66" t="s">
        <v>228</v>
      </c>
      <c r="C66" t="s">
        <v>227</v>
      </c>
      <c r="D66">
        <v>6855</v>
      </c>
      <c r="E66">
        <v>87373</v>
      </c>
      <c r="F66">
        <v>47016</v>
      </c>
      <c r="G66">
        <v>62767</v>
      </c>
      <c r="H66">
        <v>3686</v>
      </c>
      <c r="I66">
        <v>70233</v>
      </c>
      <c r="J66">
        <v>3978394</v>
      </c>
      <c r="K66">
        <v>3510</v>
      </c>
      <c r="L66">
        <v>42622</v>
      </c>
      <c r="M66">
        <v>18463</v>
      </c>
      <c r="N66">
        <v>144974</v>
      </c>
      <c r="O66">
        <v>18786</v>
      </c>
      <c r="P66">
        <v>270510</v>
      </c>
      <c r="Q66">
        <v>78916</v>
      </c>
      <c r="R66">
        <v>60748</v>
      </c>
      <c r="S66">
        <v>2850</v>
      </c>
      <c r="T66">
        <v>1005</v>
      </c>
      <c r="U66">
        <v>110316</v>
      </c>
      <c r="V66">
        <v>1924</v>
      </c>
      <c r="W66">
        <v>5010948</v>
      </c>
    </row>
    <row r="67" spans="1:23" x14ac:dyDescent="0.3">
      <c r="A67" t="s">
        <v>186</v>
      </c>
      <c r="B67" t="s">
        <v>214</v>
      </c>
      <c r="C67" t="s">
        <v>226</v>
      </c>
      <c r="D67">
        <v>6807</v>
      </c>
      <c r="E67">
        <v>86649</v>
      </c>
      <c r="F67">
        <v>46689</v>
      </c>
      <c r="G67">
        <v>62332</v>
      </c>
      <c r="H67">
        <v>3660</v>
      </c>
      <c r="I67">
        <v>69743</v>
      </c>
      <c r="J67">
        <v>3945412</v>
      </c>
      <c r="K67">
        <v>3378</v>
      </c>
      <c r="L67">
        <v>42326</v>
      </c>
      <c r="M67">
        <v>18335</v>
      </c>
      <c r="N67">
        <v>143968</v>
      </c>
      <c r="O67">
        <v>18656</v>
      </c>
      <c r="P67">
        <v>268195</v>
      </c>
      <c r="Q67">
        <v>78369</v>
      </c>
      <c r="R67">
        <v>60326</v>
      </c>
      <c r="S67">
        <v>2830</v>
      </c>
      <c r="T67">
        <v>998</v>
      </c>
      <c r="U67">
        <v>109508</v>
      </c>
      <c r="V67">
        <v>1911</v>
      </c>
      <c r="W67">
        <v>4970092</v>
      </c>
    </row>
    <row r="68" spans="1:23" x14ac:dyDescent="0.3">
      <c r="A68" t="s">
        <v>186</v>
      </c>
      <c r="B68" t="s">
        <v>214</v>
      </c>
      <c r="C68" t="s">
        <v>225</v>
      </c>
      <c r="D68">
        <v>6820</v>
      </c>
      <c r="E68">
        <v>86748</v>
      </c>
      <c r="F68">
        <v>46620</v>
      </c>
      <c r="G68">
        <v>62447</v>
      </c>
      <c r="H68">
        <v>3655</v>
      </c>
      <c r="I68">
        <v>69641</v>
      </c>
      <c r="J68">
        <v>3949898</v>
      </c>
      <c r="K68">
        <v>3433</v>
      </c>
      <c r="L68">
        <v>42404</v>
      </c>
      <c r="M68">
        <v>18369</v>
      </c>
      <c r="N68">
        <v>144234</v>
      </c>
      <c r="O68">
        <v>18690</v>
      </c>
      <c r="P68">
        <v>268411</v>
      </c>
      <c r="Q68">
        <v>78513</v>
      </c>
      <c r="R68">
        <v>60437</v>
      </c>
      <c r="S68">
        <v>2826</v>
      </c>
      <c r="T68">
        <v>997</v>
      </c>
      <c r="U68">
        <v>109681</v>
      </c>
      <c r="V68">
        <v>1908</v>
      </c>
      <c r="W68">
        <v>4975732</v>
      </c>
    </row>
    <row r="69" spans="1:23" x14ac:dyDescent="0.3">
      <c r="A69" t="s">
        <v>186</v>
      </c>
      <c r="B69" t="s">
        <v>214</v>
      </c>
      <c r="C69" t="s">
        <v>224</v>
      </c>
      <c r="D69">
        <v>6832</v>
      </c>
      <c r="E69">
        <v>86846</v>
      </c>
      <c r="F69">
        <v>46552</v>
      </c>
      <c r="G69">
        <v>62562</v>
      </c>
      <c r="H69">
        <v>3650</v>
      </c>
      <c r="I69">
        <v>69538</v>
      </c>
      <c r="J69">
        <v>3954384</v>
      </c>
      <c r="K69">
        <v>3488</v>
      </c>
      <c r="L69">
        <v>42483</v>
      </c>
      <c r="M69">
        <v>18403</v>
      </c>
      <c r="N69">
        <v>144500</v>
      </c>
      <c r="O69">
        <v>18725</v>
      </c>
      <c r="P69">
        <v>268626</v>
      </c>
      <c r="Q69">
        <v>78658</v>
      </c>
      <c r="R69">
        <v>60549</v>
      </c>
      <c r="S69">
        <v>2822</v>
      </c>
      <c r="T69">
        <v>995</v>
      </c>
      <c r="U69">
        <v>109854</v>
      </c>
      <c r="V69">
        <v>1905</v>
      </c>
      <c r="W69">
        <v>4981372</v>
      </c>
    </row>
    <row r="70" spans="1:23" x14ac:dyDescent="0.3">
      <c r="A70" t="s">
        <v>186</v>
      </c>
      <c r="B70" t="s">
        <v>214</v>
      </c>
      <c r="C70" t="s">
        <v>223</v>
      </c>
      <c r="D70">
        <v>6845</v>
      </c>
      <c r="E70">
        <v>86944</v>
      </c>
      <c r="F70">
        <v>46483</v>
      </c>
      <c r="G70">
        <v>62676</v>
      </c>
      <c r="H70">
        <v>3644</v>
      </c>
      <c r="I70">
        <v>69436</v>
      </c>
      <c r="J70">
        <v>3958870</v>
      </c>
      <c r="K70">
        <v>3544</v>
      </c>
      <c r="L70">
        <v>42561</v>
      </c>
      <c r="M70">
        <v>18436</v>
      </c>
      <c r="N70">
        <v>144766</v>
      </c>
      <c r="O70">
        <v>18759</v>
      </c>
      <c r="P70">
        <v>268842</v>
      </c>
      <c r="Q70">
        <v>78803</v>
      </c>
      <c r="R70">
        <v>60660</v>
      </c>
      <c r="S70">
        <v>2818</v>
      </c>
      <c r="T70">
        <v>994</v>
      </c>
      <c r="U70">
        <v>110028</v>
      </c>
      <c r="V70">
        <v>1903</v>
      </c>
      <c r="W70">
        <v>4987012</v>
      </c>
    </row>
    <row r="71" spans="1:23" x14ac:dyDescent="0.3">
      <c r="A71" t="s">
        <v>186</v>
      </c>
      <c r="B71" t="s">
        <v>214</v>
      </c>
      <c r="C71" t="s">
        <v>222</v>
      </c>
      <c r="D71">
        <v>6887</v>
      </c>
      <c r="E71">
        <v>87452</v>
      </c>
      <c r="F71">
        <v>46543</v>
      </c>
      <c r="G71">
        <v>63064</v>
      </c>
      <c r="H71">
        <v>3649</v>
      </c>
      <c r="I71">
        <v>69526</v>
      </c>
      <c r="J71">
        <v>3981993</v>
      </c>
      <c r="K71">
        <v>3692</v>
      </c>
      <c r="L71">
        <v>42825</v>
      </c>
      <c r="M71">
        <v>18551</v>
      </c>
      <c r="N71">
        <v>145665</v>
      </c>
      <c r="O71">
        <v>18876</v>
      </c>
      <c r="P71">
        <v>270316</v>
      </c>
      <c r="Q71">
        <v>79292</v>
      </c>
      <c r="R71">
        <v>61037</v>
      </c>
      <c r="S71">
        <v>2822</v>
      </c>
      <c r="T71">
        <v>995</v>
      </c>
      <c r="U71">
        <v>110689</v>
      </c>
      <c r="V71">
        <v>1905</v>
      </c>
      <c r="W71">
        <v>5015779</v>
      </c>
    </row>
    <row r="72" spans="1:23" x14ac:dyDescent="0.3">
      <c r="A72" t="s">
        <v>186</v>
      </c>
      <c r="B72" t="s">
        <v>214</v>
      </c>
      <c r="C72" t="s">
        <v>221</v>
      </c>
      <c r="D72">
        <v>6914</v>
      </c>
      <c r="E72">
        <v>87756</v>
      </c>
      <c r="F72">
        <v>46539</v>
      </c>
      <c r="G72">
        <v>63316</v>
      </c>
      <c r="H72">
        <v>3648</v>
      </c>
      <c r="I72">
        <v>69520</v>
      </c>
      <c r="J72">
        <v>3995797</v>
      </c>
      <c r="K72">
        <v>3794</v>
      </c>
      <c r="L72">
        <v>42996</v>
      </c>
      <c r="M72">
        <v>18625</v>
      </c>
      <c r="N72">
        <v>146247</v>
      </c>
      <c r="O72">
        <v>18951</v>
      </c>
      <c r="P72">
        <v>271160</v>
      </c>
      <c r="Q72">
        <v>79609</v>
      </c>
      <c r="R72">
        <v>61281</v>
      </c>
      <c r="S72">
        <v>2821</v>
      </c>
      <c r="T72">
        <v>995</v>
      </c>
      <c r="U72">
        <v>111106</v>
      </c>
      <c r="V72">
        <v>1905</v>
      </c>
      <c r="W72">
        <v>5032980</v>
      </c>
    </row>
    <row r="73" spans="1:23" x14ac:dyDescent="0.3">
      <c r="A73" t="s">
        <v>186</v>
      </c>
      <c r="B73" t="s">
        <v>214</v>
      </c>
      <c r="C73" t="s">
        <v>220</v>
      </c>
      <c r="D73">
        <v>6942</v>
      </c>
      <c r="E73">
        <v>88059</v>
      </c>
      <c r="F73">
        <v>46535</v>
      </c>
      <c r="G73">
        <v>63567</v>
      </c>
      <c r="H73">
        <v>3648</v>
      </c>
      <c r="I73">
        <v>69514</v>
      </c>
      <c r="J73">
        <v>4009602</v>
      </c>
      <c r="K73">
        <v>3895</v>
      </c>
      <c r="L73">
        <v>43168</v>
      </c>
      <c r="M73">
        <v>18699</v>
      </c>
      <c r="N73">
        <v>146830</v>
      </c>
      <c r="O73">
        <v>19027</v>
      </c>
      <c r="P73">
        <v>272005</v>
      </c>
      <c r="Q73">
        <v>79926</v>
      </c>
      <c r="R73">
        <v>61525</v>
      </c>
      <c r="S73">
        <v>2821</v>
      </c>
      <c r="T73">
        <v>995</v>
      </c>
      <c r="U73">
        <v>111523</v>
      </c>
      <c r="V73">
        <v>1905</v>
      </c>
      <c r="W73">
        <v>5050186</v>
      </c>
    </row>
    <row r="74" spans="1:23" x14ac:dyDescent="0.3">
      <c r="A74" t="s">
        <v>186</v>
      </c>
      <c r="B74" t="s">
        <v>214</v>
      </c>
      <c r="C74" t="s">
        <v>219</v>
      </c>
      <c r="D74">
        <v>6970</v>
      </c>
      <c r="E74">
        <v>88362</v>
      </c>
      <c r="F74">
        <v>46531</v>
      </c>
      <c r="G74">
        <v>63819</v>
      </c>
      <c r="H74">
        <v>3648</v>
      </c>
      <c r="I74">
        <v>69507</v>
      </c>
      <c r="J74">
        <v>4023406</v>
      </c>
      <c r="K74">
        <v>3997</v>
      </c>
      <c r="L74">
        <v>43339</v>
      </c>
      <c r="M74">
        <v>18774</v>
      </c>
      <c r="N74">
        <v>147412</v>
      </c>
      <c r="O74">
        <v>19102</v>
      </c>
      <c r="P74">
        <v>272850</v>
      </c>
      <c r="Q74">
        <v>80244</v>
      </c>
      <c r="R74">
        <v>61769</v>
      </c>
      <c r="S74">
        <v>2821</v>
      </c>
      <c r="T74">
        <v>995</v>
      </c>
      <c r="U74">
        <v>111940</v>
      </c>
      <c r="V74">
        <v>1904</v>
      </c>
      <c r="W74">
        <v>5067390</v>
      </c>
    </row>
    <row r="75" spans="1:23" x14ac:dyDescent="0.3">
      <c r="A75" t="s">
        <v>186</v>
      </c>
      <c r="B75" t="s">
        <v>214</v>
      </c>
      <c r="C75" t="s">
        <v>218</v>
      </c>
      <c r="D75">
        <v>6997</v>
      </c>
      <c r="E75">
        <v>88665</v>
      </c>
      <c r="F75">
        <v>46527</v>
      </c>
      <c r="G75">
        <v>64070</v>
      </c>
      <c r="H75">
        <v>3648</v>
      </c>
      <c r="I75">
        <v>69501</v>
      </c>
      <c r="J75">
        <v>4037210</v>
      </c>
      <c r="K75">
        <v>4099</v>
      </c>
      <c r="L75">
        <v>43510</v>
      </c>
      <c r="M75">
        <v>18848</v>
      </c>
      <c r="N75">
        <v>147995</v>
      </c>
      <c r="O75">
        <v>19178</v>
      </c>
      <c r="P75">
        <v>273694</v>
      </c>
      <c r="Q75">
        <v>80561</v>
      </c>
      <c r="R75">
        <v>62013</v>
      </c>
      <c r="S75">
        <v>2821</v>
      </c>
      <c r="T75">
        <v>995</v>
      </c>
      <c r="U75">
        <v>112357</v>
      </c>
      <c r="V75">
        <v>1904</v>
      </c>
      <c r="W75">
        <v>5084593</v>
      </c>
    </row>
    <row r="76" spans="1:23" x14ac:dyDescent="0.3">
      <c r="A76" t="s">
        <v>186</v>
      </c>
      <c r="B76" t="s">
        <v>214</v>
      </c>
      <c r="C76" t="s">
        <v>217</v>
      </c>
      <c r="D76">
        <v>7054</v>
      </c>
      <c r="E76">
        <v>89378</v>
      </c>
      <c r="F76">
        <v>46651</v>
      </c>
      <c r="G76">
        <v>64595</v>
      </c>
      <c r="H76">
        <v>3657</v>
      </c>
      <c r="I76">
        <v>69687</v>
      </c>
      <c r="J76">
        <v>4069652</v>
      </c>
      <c r="K76">
        <v>4294</v>
      </c>
      <c r="L76">
        <v>43868</v>
      </c>
      <c r="M76">
        <v>19002</v>
      </c>
      <c r="N76">
        <v>149210</v>
      </c>
      <c r="O76">
        <v>19335</v>
      </c>
      <c r="P76">
        <v>275798</v>
      </c>
      <c r="Q76">
        <v>81222</v>
      </c>
      <c r="R76">
        <v>62522</v>
      </c>
      <c r="S76">
        <v>2828</v>
      </c>
      <c r="T76">
        <v>997</v>
      </c>
      <c r="U76">
        <v>113262</v>
      </c>
      <c r="V76">
        <v>1909</v>
      </c>
      <c r="W76">
        <v>5124921</v>
      </c>
    </row>
    <row r="77" spans="1:23" x14ac:dyDescent="0.3">
      <c r="A77" t="s">
        <v>186</v>
      </c>
      <c r="B77" t="s">
        <v>214</v>
      </c>
      <c r="C77" t="s">
        <v>216</v>
      </c>
      <c r="D77">
        <v>7097</v>
      </c>
      <c r="E77">
        <v>89885</v>
      </c>
      <c r="F77">
        <v>46712</v>
      </c>
      <c r="G77">
        <v>64983</v>
      </c>
      <c r="H77">
        <v>3662</v>
      </c>
      <c r="I77">
        <v>69777</v>
      </c>
      <c r="J77">
        <v>4092774</v>
      </c>
      <c r="K77">
        <v>4442</v>
      </c>
      <c r="L77">
        <v>44132</v>
      </c>
      <c r="M77">
        <v>19117</v>
      </c>
      <c r="N77">
        <v>150109</v>
      </c>
      <c r="O77">
        <v>19452</v>
      </c>
      <c r="P77">
        <v>277272</v>
      </c>
      <c r="Q77">
        <v>81712</v>
      </c>
      <c r="R77">
        <v>62899</v>
      </c>
      <c r="S77">
        <v>2832</v>
      </c>
      <c r="T77">
        <v>998</v>
      </c>
      <c r="U77">
        <v>113923</v>
      </c>
      <c r="V77">
        <v>1912</v>
      </c>
      <c r="W77">
        <v>5153690</v>
      </c>
    </row>
    <row r="78" spans="1:23" x14ac:dyDescent="0.3">
      <c r="A78" t="s">
        <v>186</v>
      </c>
      <c r="B78" t="s">
        <v>214</v>
      </c>
      <c r="C78" t="s">
        <v>215</v>
      </c>
      <c r="D78">
        <v>7139</v>
      </c>
      <c r="E78">
        <v>90393</v>
      </c>
      <c r="F78">
        <v>46772</v>
      </c>
      <c r="G78">
        <v>65371</v>
      </c>
      <c r="H78">
        <v>3667</v>
      </c>
      <c r="I78">
        <v>69868</v>
      </c>
      <c r="J78">
        <v>4115897</v>
      </c>
      <c r="K78">
        <v>4590</v>
      </c>
      <c r="L78">
        <v>44396</v>
      </c>
      <c r="M78">
        <v>19231</v>
      </c>
      <c r="N78">
        <v>151008</v>
      </c>
      <c r="O78">
        <v>19568</v>
      </c>
      <c r="P78">
        <v>278746</v>
      </c>
      <c r="Q78">
        <v>82201</v>
      </c>
      <c r="R78">
        <v>63276</v>
      </c>
      <c r="S78">
        <v>2836</v>
      </c>
      <c r="T78">
        <v>1000</v>
      </c>
      <c r="U78">
        <v>114584</v>
      </c>
      <c r="V78">
        <v>1914</v>
      </c>
      <c r="W78">
        <v>5182457</v>
      </c>
    </row>
    <row r="79" spans="1:23" x14ac:dyDescent="0.3">
      <c r="A79" t="s">
        <v>186</v>
      </c>
      <c r="B79" t="s">
        <v>214</v>
      </c>
      <c r="C79" t="s">
        <v>213</v>
      </c>
      <c r="D79">
        <v>7248</v>
      </c>
      <c r="E79">
        <v>91822</v>
      </c>
      <c r="F79">
        <v>47122</v>
      </c>
      <c r="G79">
        <v>66374</v>
      </c>
      <c r="H79">
        <v>3694</v>
      </c>
      <c r="I79">
        <v>70391</v>
      </c>
      <c r="J79">
        <v>4180954</v>
      </c>
      <c r="K79">
        <v>4948</v>
      </c>
      <c r="L79">
        <v>45079</v>
      </c>
      <c r="M79">
        <v>19527</v>
      </c>
      <c r="N79">
        <v>153331</v>
      </c>
      <c r="O79">
        <v>19869</v>
      </c>
      <c r="P79">
        <v>283051</v>
      </c>
      <c r="Q79">
        <v>83465</v>
      </c>
      <c r="R79">
        <v>64249</v>
      </c>
      <c r="S79">
        <v>2857</v>
      </c>
      <c r="T79">
        <v>1007</v>
      </c>
      <c r="U79">
        <v>116343</v>
      </c>
      <c r="V79">
        <v>1929</v>
      </c>
      <c r="W79">
        <v>5263260</v>
      </c>
    </row>
    <row r="80" spans="1:23" x14ac:dyDescent="0.3">
      <c r="A80" t="s">
        <v>186</v>
      </c>
      <c r="B80" t="s">
        <v>200</v>
      </c>
      <c r="C80" t="s">
        <v>212</v>
      </c>
      <c r="D80">
        <v>7198</v>
      </c>
      <c r="E80">
        <v>91051</v>
      </c>
      <c r="F80">
        <v>46780</v>
      </c>
      <c r="G80">
        <v>65908</v>
      </c>
      <c r="H80">
        <v>3667</v>
      </c>
      <c r="I80">
        <v>69879</v>
      </c>
      <c r="J80">
        <v>4145836</v>
      </c>
      <c r="K80">
        <v>4806</v>
      </c>
      <c r="L80">
        <v>44762</v>
      </c>
      <c r="M80">
        <v>19390</v>
      </c>
      <c r="N80">
        <v>152252</v>
      </c>
      <c r="O80">
        <v>19729</v>
      </c>
      <c r="P80">
        <v>280592</v>
      </c>
      <c r="Q80">
        <v>82878</v>
      </c>
      <c r="R80">
        <v>63797</v>
      </c>
      <c r="S80">
        <v>2836</v>
      </c>
      <c r="T80">
        <v>1000</v>
      </c>
      <c r="U80">
        <v>115479</v>
      </c>
      <c r="V80">
        <v>1915</v>
      </c>
      <c r="W80">
        <v>5219755</v>
      </c>
    </row>
    <row r="81" spans="1:23" x14ac:dyDescent="0.3">
      <c r="A81" t="s">
        <v>186</v>
      </c>
      <c r="B81" t="s">
        <v>200</v>
      </c>
      <c r="C81" t="s">
        <v>211</v>
      </c>
      <c r="D81">
        <v>7210</v>
      </c>
      <c r="E81">
        <v>91149</v>
      </c>
      <c r="F81">
        <v>46711</v>
      </c>
      <c r="G81">
        <v>66022</v>
      </c>
      <c r="H81">
        <v>3662</v>
      </c>
      <c r="I81">
        <v>69777</v>
      </c>
      <c r="J81">
        <v>4150322</v>
      </c>
      <c r="K81">
        <v>4861</v>
      </c>
      <c r="L81">
        <v>44840</v>
      </c>
      <c r="M81">
        <v>19424</v>
      </c>
      <c r="N81">
        <v>152518</v>
      </c>
      <c r="O81">
        <v>19764</v>
      </c>
      <c r="P81">
        <v>280808</v>
      </c>
      <c r="Q81">
        <v>83023</v>
      </c>
      <c r="R81">
        <v>63908</v>
      </c>
      <c r="S81">
        <v>2832</v>
      </c>
      <c r="T81">
        <v>998</v>
      </c>
      <c r="U81">
        <v>115652</v>
      </c>
      <c r="V81">
        <v>1912</v>
      </c>
      <c r="W81">
        <v>5225393</v>
      </c>
    </row>
    <row r="82" spans="1:23" x14ac:dyDescent="0.3">
      <c r="A82" t="s">
        <v>186</v>
      </c>
      <c r="B82" t="s">
        <v>200</v>
      </c>
      <c r="C82" t="s">
        <v>210</v>
      </c>
      <c r="D82">
        <v>7223</v>
      </c>
      <c r="E82">
        <v>91248</v>
      </c>
      <c r="F82">
        <v>46643</v>
      </c>
      <c r="G82">
        <v>66137</v>
      </c>
      <c r="H82">
        <v>3657</v>
      </c>
      <c r="I82">
        <v>69674</v>
      </c>
      <c r="J82">
        <v>4154808</v>
      </c>
      <c r="K82">
        <v>4916</v>
      </c>
      <c r="L82">
        <v>44918</v>
      </c>
      <c r="M82">
        <v>19458</v>
      </c>
      <c r="N82">
        <v>152784</v>
      </c>
      <c r="O82">
        <v>19798</v>
      </c>
      <c r="P82">
        <v>281023</v>
      </c>
      <c r="Q82">
        <v>83168</v>
      </c>
      <c r="R82">
        <v>64020</v>
      </c>
      <c r="S82">
        <v>2828</v>
      </c>
      <c r="T82">
        <v>997</v>
      </c>
      <c r="U82">
        <v>115826</v>
      </c>
      <c r="V82">
        <v>1909</v>
      </c>
      <c r="W82">
        <v>5231035</v>
      </c>
    </row>
    <row r="83" spans="1:23" x14ac:dyDescent="0.3">
      <c r="A83" t="s">
        <v>186</v>
      </c>
      <c r="B83" t="s">
        <v>200</v>
      </c>
      <c r="C83" t="s">
        <v>209</v>
      </c>
      <c r="D83">
        <v>7235</v>
      </c>
      <c r="E83">
        <v>91346</v>
      </c>
      <c r="F83">
        <v>46574</v>
      </c>
      <c r="G83">
        <v>66252</v>
      </c>
      <c r="H83">
        <v>3651</v>
      </c>
      <c r="I83">
        <v>69572</v>
      </c>
      <c r="J83">
        <v>4159294</v>
      </c>
      <c r="K83">
        <v>4971</v>
      </c>
      <c r="L83">
        <v>44996</v>
      </c>
      <c r="M83">
        <v>19492</v>
      </c>
      <c r="N83">
        <v>153050</v>
      </c>
      <c r="O83">
        <v>19833</v>
      </c>
      <c r="P83">
        <v>281239</v>
      </c>
      <c r="Q83">
        <v>83312</v>
      </c>
      <c r="R83">
        <v>64131</v>
      </c>
      <c r="S83">
        <v>2824</v>
      </c>
      <c r="T83">
        <v>996</v>
      </c>
      <c r="U83">
        <v>115999</v>
      </c>
      <c r="V83">
        <v>1906</v>
      </c>
      <c r="W83">
        <v>5236673</v>
      </c>
    </row>
    <row r="84" spans="1:23" x14ac:dyDescent="0.3">
      <c r="A84" t="s">
        <v>186</v>
      </c>
      <c r="B84" t="s">
        <v>200</v>
      </c>
      <c r="C84" t="s">
        <v>208</v>
      </c>
      <c r="D84">
        <v>7278</v>
      </c>
      <c r="E84">
        <v>91854</v>
      </c>
      <c r="F84">
        <v>46634</v>
      </c>
      <c r="G84">
        <v>66640</v>
      </c>
      <c r="H84">
        <v>3656</v>
      </c>
      <c r="I84">
        <v>69662</v>
      </c>
      <c r="J84">
        <v>4182416</v>
      </c>
      <c r="K84">
        <v>5120</v>
      </c>
      <c r="L84">
        <v>45261</v>
      </c>
      <c r="M84">
        <v>19606</v>
      </c>
      <c r="N84">
        <v>153949</v>
      </c>
      <c r="O84">
        <v>19949</v>
      </c>
      <c r="P84">
        <v>282713</v>
      </c>
      <c r="Q84">
        <v>83802</v>
      </c>
      <c r="R84">
        <v>64508</v>
      </c>
      <c r="S84">
        <v>2827</v>
      </c>
      <c r="T84">
        <v>997</v>
      </c>
      <c r="U84">
        <v>116660</v>
      </c>
      <c r="V84">
        <v>1909</v>
      </c>
      <c r="W84">
        <v>5265441</v>
      </c>
    </row>
    <row r="85" spans="1:23" x14ac:dyDescent="0.3">
      <c r="A85" t="s">
        <v>186</v>
      </c>
      <c r="B85" t="s">
        <v>200</v>
      </c>
      <c r="C85" t="s">
        <v>207</v>
      </c>
      <c r="D85">
        <v>7305</v>
      </c>
      <c r="E85">
        <v>92157</v>
      </c>
      <c r="F85">
        <v>46630</v>
      </c>
      <c r="G85">
        <v>66891</v>
      </c>
      <c r="H85">
        <v>3656</v>
      </c>
      <c r="I85">
        <v>69656</v>
      </c>
      <c r="J85">
        <v>4196221</v>
      </c>
      <c r="K85">
        <v>5221</v>
      </c>
      <c r="L85">
        <v>45432</v>
      </c>
      <c r="M85">
        <v>19680</v>
      </c>
      <c r="N85">
        <v>154532</v>
      </c>
      <c r="O85">
        <v>20025</v>
      </c>
      <c r="P85">
        <v>283558</v>
      </c>
      <c r="Q85">
        <v>84119</v>
      </c>
      <c r="R85">
        <v>64752</v>
      </c>
      <c r="S85">
        <v>2827</v>
      </c>
      <c r="T85">
        <v>997</v>
      </c>
      <c r="U85">
        <v>117077</v>
      </c>
      <c r="V85">
        <v>1909</v>
      </c>
      <c r="W85">
        <v>5282645</v>
      </c>
    </row>
    <row r="86" spans="1:23" x14ac:dyDescent="0.3">
      <c r="A86" t="s">
        <v>186</v>
      </c>
      <c r="B86" t="s">
        <v>200</v>
      </c>
      <c r="C86" t="s">
        <v>206</v>
      </c>
      <c r="D86">
        <v>7332</v>
      </c>
      <c r="E86">
        <v>92460</v>
      </c>
      <c r="F86">
        <v>46626</v>
      </c>
      <c r="G86">
        <v>67143</v>
      </c>
      <c r="H86">
        <v>3655</v>
      </c>
      <c r="I86">
        <v>69650</v>
      </c>
      <c r="J86">
        <v>4210025</v>
      </c>
      <c r="K86">
        <v>5323</v>
      </c>
      <c r="L86">
        <v>45603</v>
      </c>
      <c r="M86">
        <v>19754</v>
      </c>
      <c r="N86">
        <v>155114</v>
      </c>
      <c r="O86">
        <v>20100</v>
      </c>
      <c r="P86">
        <v>284402</v>
      </c>
      <c r="Q86">
        <v>84436</v>
      </c>
      <c r="R86">
        <v>64996</v>
      </c>
      <c r="S86">
        <v>2827</v>
      </c>
      <c r="T86">
        <v>997</v>
      </c>
      <c r="U86">
        <v>117494</v>
      </c>
      <c r="V86">
        <v>1908</v>
      </c>
      <c r="W86">
        <v>5299845</v>
      </c>
    </row>
    <row r="87" spans="1:23" x14ac:dyDescent="0.3">
      <c r="A87" t="s">
        <v>186</v>
      </c>
      <c r="B87" t="s">
        <v>200</v>
      </c>
      <c r="C87" t="s">
        <v>205</v>
      </c>
      <c r="D87">
        <v>7360</v>
      </c>
      <c r="E87">
        <v>92764</v>
      </c>
      <c r="F87">
        <v>46622</v>
      </c>
      <c r="G87">
        <v>67394</v>
      </c>
      <c r="H87">
        <v>3655</v>
      </c>
      <c r="I87">
        <v>69643</v>
      </c>
      <c r="J87">
        <v>4223830</v>
      </c>
      <c r="K87">
        <v>5425</v>
      </c>
      <c r="L87">
        <v>45774</v>
      </c>
      <c r="M87">
        <v>19828</v>
      </c>
      <c r="N87">
        <v>155696</v>
      </c>
      <c r="O87">
        <v>20176</v>
      </c>
      <c r="P87">
        <v>285247</v>
      </c>
      <c r="Q87">
        <v>84753</v>
      </c>
      <c r="R87">
        <v>65240</v>
      </c>
      <c r="S87">
        <v>2826</v>
      </c>
      <c r="T87">
        <v>997</v>
      </c>
      <c r="U87">
        <v>117911</v>
      </c>
      <c r="V87">
        <v>1908</v>
      </c>
      <c r="W87">
        <v>5317049</v>
      </c>
    </row>
    <row r="88" spans="1:23" x14ac:dyDescent="0.3">
      <c r="A88" t="s">
        <v>186</v>
      </c>
      <c r="B88" t="s">
        <v>200</v>
      </c>
      <c r="C88" t="s">
        <v>204</v>
      </c>
      <c r="D88">
        <v>7387</v>
      </c>
      <c r="E88">
        <v>93067</v>
      </c>
      <c r="F88">
        <v>46618</v>
      </c>
      <c r="G88">
        <v>67645</v>
      </c>
      <c r="H88">
        <v>3655</v>
      </c>
      <c r="I88">
        <v>69637</v>
      </c>
      <c r="J88">
        <v>4237634</v>
      </c>
      <c r="K88">
        <v>5527</v>
      </c>
      <c r="L88">
        <v>45946</v>
      </c>
      <c r="M88">
        <v>19903</v>
      </c>
      <c r="N88">
        <v>156279</v>
      </c>
      <c r="O88">
        <v>20251</v>
      </c>
      <c r="P88">
        <v>286092</v>
      </c>
      <c r="Q88">
        <v>85070</v>
      </c>
      <c r="R88">
        <v>65484</v>
      </c>
      <c r="S88">
        <v>2826</v>
      </c>
      <c r="T88">
        <v>996</v>
      </c>
      <c r="U88">
        <v>118328</v>
      </c>
      <c r="V88">
        <v>1908</v>
      </c>
      <c r="W88">
        <v>5334253</v>
      </c>
    </row>
    <row r="89" spans="1:23" x14ac:dyDescent="0.3">
      <c r="A89" t="s">
        <v>186</v>
      </c>
      <c r="B89" t="s">
        <v>200</v>
      </c>
      <c r="C89" t="s">
        <v>203</v>
      </c>
      <c r="D89">
        <v>7445</v>
      </c>
      <c r="E89">
        <v>93779</v>
      </c>
      <c r="F89">
        <v>46742</v>
      </c>
      <c r="G89">
        <v>68170</v>
      </c>
      <c r="H89">
        <v>3664</v>
      </c>
      <c r="I89">
        <v>69823</v>
      </c>
      <c r="J89">
        <v>4270075</v>
      </c>
      <c r="K89">
        <v>5722</v>
      </c>
      <c r="L89">
        <v>46303</v>
      </c>
      <c r="M89">
        <v>20058</v>
      </c>
      <c r="N89">
        <v>157494</v>
      </c>
      <c r="O89">
        <v>20409</v>
      </c>
      <c r="P89">
        <v>288195</v>
      </c>
      <c r="Q89">
        <v>85732</v>
      </c>
      <c r="R89">
        <v>65994</v>
      </c>
      <c r="S89">
        <v>2834</v>
      </c>
      <c r="T89">
        <v>999</v>
      </c>
      <c r="U89">
        <v>119233</v>
      </c>
      <c r="V89">
        <v>1913</v>
      </c>
      <c r="W89">
        <v>5374584</v>
      </c>
    </row>
    <row r="90" spans="1:23" x14ac:dyDescent="0.3">
      <c r="A90" t="s">
        <v>186</v>
      </c>
      <c r="B90" t="s">
        <v>200</v>
      </c>
      <c r="C90" t="s">
        <v>202</v>
      </c>
      <c r="D90">
        <v>7487</v>
      </c>
      <c r="E90">
        <v>94287</v>
      </c>
      <c r="F90">
        <v>46803</v>
      </c>
      <c r="G90">
        <v>68558</v>
      </c>
      <c r="H90">
        <v>3669</v>
      </c>
      <c r="I90">
        <v>69913</v>
      </c>
      <c r="J90">
        <v>4293198</v>
      </c>
      <c r="K90">
        <v>5870</v>
      </c>
      <c r="L90">
        <v>46567</v>
      </c>
      <c r="M90">
        <v>20172</v>
      </c>
      <c r="N90">
        <v>158393</v>
      </c>
      <c r="O90">
        <v>20525</v>
      </c>
      <c r="P90">
        <v>289669</v>
      </c>
      <c r="Q90">
        <v>86221</v>
      </c>
      <c r="R90">
        <v>66370</v>
      </c>
      <c r="S90">
        <v>2837</v>
      </c>
      <c r="T90">
        <v>1000</v>
      </c>
      <c r="U90">
        <v>119894</v>
      </c>
      <c r="V90">
        <v>1916</v>
      </c>
      <c r="W90">
        <v>5403349</v>
      </c>
    </row>
    <row r="91" spans="1:23" x14ac:dyDescent="0.3">
      <c r="A91" t="s">
        <v>186</v>
      </c>
      <c r="B91" t="s">
        <v>200</v>
      </c>
      <c r="C91" t="s">
        <v>201</v>
      </c>
      <c r="D91">
        <v>7529</v>
      </c>
      <c r="E91">
        <v>94795</v>
      </c>
      <c r="F91">
        <v>46863</v>
      </c>
      <c r="G91">
        <v>68946</v>
      </c>
      <c r="H91">
        <v>3674</v>
      </c>
      <c r="I91">
        <v>70003</v>
      </c>
      <c r="J91">
        <v>4316321</v>
      </c>
      <c r="K91">
        <v>6018</v>
      </c>
      <c r="L91">
        <v>46832</v>
      </c>
      <c r="M91">
        <v>20286</v>
      </c>
      <c r="N91">
        <v>159292</v>
      </c>
      <c r="O91">
        <v>20642</v>
      </c>
      <c r="P91">
        <v>291143</v>
      </c>
      <c r="Q91">
        <v>86710</v>
      </c>
      <c r="R91">
        <v>66747</v>
      </c>
      <c r="S91">
        <v>2841</v>
      </c>
      <c r="T91">
        <v>1002</v>
      </c>
      <c r="U91">
        <v>120555</v>
      </c>
      <c r="V91">
        <v>1918</v>
      </c>
      <c r="W91">
        <v>5432117</v>
      </c>
    </row>
    <row r="92" spans="1:23" x14ac:dyDescent="0.3">
      <c r="A92" t="s">
        <v>186</v>
      </c>
      <c r="B92" t="s">
        <v>200</v>
      </c>
      <c r="C92" t="s">
        <v>199</v>
      </c>
      <c r="D92">
        <v>7639</v>
      </c>
      <c r="E92">
        <v>96224</v>
      </c>
      <c r="F92">
        <v>47213</v>
      </c>
      <c r="G92">
        <v>69949</v>
      </c>
      <c r="H92">
        <v>3701</v>
      </c>
      <c r="I92">
        <v>70526</v>
      </c>
      <c r="J92">
        <v>4381377</v>
      </c>
      <c r="K92">
        <v>6376</v>
      </c>
      <c r="L92">
        <v>47514</v>
      </c>
      <c r="M92">
        <v>20582</v>
      </c>
      <c r="N92">
        <v>161615</v>
      </c>
      <c r="O92">
        <v>20943</v>
      </c>
      <c r="P92">
        <v>295449</v>
      </c>
      <c r="Q92">
        <v>87975</v>
      </c>
      <c r="R92">
        <v>67720</v>
      </c>
      <c r="S92">
        <v>2862</v>
      </c>
      <c r="T92">
        <v>1009</v>
      </c>
      <c r="U92">
        <v>122314</v>
      </c>
      <c r="V92">
        <v>1932</v>
      </c>
      <c r="W92">
        <v>5512920</v>
      </c>
    </row>
    <row r="93" spans="1:23" x14ac:dyDescent="0.3">
      <c r="A93" t="s">
        <v>186</v>
      </c>
      <c r="B93" t="s">
        <v>185</v>
      </c>
      <c r="C93" t="s">
        <v>198</v>
      </c>
      <c r="D93">
        <v>7596</v>
      </c>
      <c r="E93">
        <v>95559</v>
      </c>
      <c r="F93">
        <v>46904</v>
      </c>
      <c r="G93">
        <v>69554</v>
      </c>
      <c r="H93">
        <v>3677</v>
      </c>
      <c r="I93">
        <v>70065</v>
      </c>
      <c r="J93">
        <v>4351113</v>
      </c>
      <c r="K93">
        <v>6258</v>
      </c>
      <c r="L93">
        <v>47246</v>
      </c>
      <c r="M93">
        <v>20466</v>
      </c>
      <c r="N93">
        <v>160701</v>
      </c>
      <c r="O93">
        <v>20824</v>
      </c>
      <c r="P93">
        <v>293317</v>
      </c>
      <c r="Q93">
        <v>87477</v>
      </c>
      <c r="R93">
        <v>67337</v>
      </c>
      <c r="S93">
        <v>2844</v>
      </c>
      <c r="T93">
        <v>1003</v>
      </c>
      <c r="U93">
        <v>121578</v>
      </c>
      <c r="V93">
        <v>1920</v>
      </c>
      <c r="W93">
        <v>5475439</v>
      </c>
    </row>
    <row r="94" spans="1:23" x14ac:dyDescent="0.3">
      <c r="A94" t="s">
        <v>186</v>
      </c>
      <c r="B94" t="s">
        <v>185</v>
      </c>
      <c r="C94" t="s">
        <v>197</v>
      </c>
      <c r="D94">
        <v>7612</v>
      </c>
      <c r="E94">
        <v>95711</v>
      </c>
      <c r="F94">
        <v>46852</v>
      </c>
      <c r="G94">
        <v>69705</v>
      </c>
      <c r="H94">
        <v>3673</v>
      </c>
      <c r="I94">
        <v>69988</v>
      </c>
      <c r="J94">
        <v>4358025</v>
      </c>
      <c r="K94">
        <v>6325</v>
      </c>
      <c r="L94">
        <v>47348</v>
      </c>
      <c r="M94">
        <v>20510</v>
      </c>
      <c r="N94">
        <v>161049</v>
      </c>
      <c r="O94">
        <v>20869</v>
      </c>
      <c r="P94">
        <v>293697</v>
      </c>
      <c r="Q94">
        <v>87667</v>
      </c>
      <c r="R94">
        <v>67483</v>
      </c>
      <c r="S94">
        <v>2840</v>
      </c>
      <c r="T94">
        <v>1002</v>
      </c>
      <c r="U94">
        <v>121814</v>
      </c>
      <c r="V94">
        <v>1918</v>
      </c>
      <c r="W94">
        <v>5484088</v>
      </c>
    </row>
    <row r="95" spans="1:23" x14ac:dyDescent="0.3">
      <c r="A95" t="s">
        <v>186</v>
      </c>
      <c r="B95" t="s">
        <v>185</v>
      </c>
      <c r="C95" t="s">
        <v>196</v>
      </c>
      <c r="D95">
        <v>7629</v>
      </c>
      <c r="E95">
        <v>95862</v>
      </c>
      <c r="F95">
        <v>46801</v>
      </c>
      <c r="G95">
        <v>69855</v>
      </c>
      <c r="H95">
        <v>3669</v>
      </c>
      <c r="I95">
        <v>69910</v>
      </c>
      <c r="J95">
        <v>4364938</v>
      </c>
      <c r="K95">
        <v>6392</v>
      </c>
      <c r="L95">
        <v>47451</v>
      </c>
      <c r="M95">
        <v>20555</v>
      </c>
      <c r="N95">
        <v>161398</v>
      </c>
      <c r="O95">
        <v>20915</v>
      </c>
      <c r="P95">
        <v>294076</v>
      </c>
      <c r="Q95">
        <v>87856</v>
      </c>
      <c r="R95">
        <v>67629</v>
      </c>
      <c r="S95">
        <v>2837</v>
      </c>
      <c r="T95">
        <v>1000</v>
      </c>
      <c r="U95">
        <v>122051</v>
      </c>
      <c r="V95">
        <v>1916</v>
      </c>
      <c r="W95">
        <v>5492740</v>
      </c>
    </row>
    <row r="96" spans="1:23" x14ac:dyDescent="0.3">
      <c r="A96" t="s">
        <v>186</v>
      </c>
      <c r="B96" t="s">
        <v>185</v>
      </c>
      <c r="C96" t="s">
        <v>195</v>
      </c>
      <c r="D96">
        <v>7645</v>
      </c>
      <c r="E96">
        <v>96014</v>
      </c>
      <c r="F96">
        <v>46749</v>
      </c>
      <c r="G96">
        <v>70005</v>
      </c>
      <c r="H96">
        <v>3665</v>
      </c>
      <c r="I96">
        <v>69833</v>
      </c>
      <c r="J96">
        <v>4371851</v>
      </c>
      <c r="K96">
        <v>6460</v>
      </c>
      <c r="L96">
        <v>47553</v>
      </c>
      <c r="M96">
        <v>20599</v>
      </c>
      <c r="N96">
        <v>161746</v>
      </c>
      <c r="O96">
        <v>20960</v>
      </c>
      <c r="P96">
        <v>294455</v>
      </c>
      <c r="Q96">
        <v>88046</v>
      </c>
      <c r="R96">
        <v>67775</v>
      </c>
      <c r="S96">
        <v>2834</v>
      </c>
      <c r="T96">
        <v>999</v>
      </c>
      <c r="U96">
        <v>122288</v>
      </c>
      <c r="V96">
        <v>1913</v>
      </c>
      <c r="W96">
        <v>5501390</v>
      </c>
    </row>
    <row r="97" spans="1:23" x14ac:dyDescent="0.3">
      <c r="A97" t="s">
        <v>186</v>
      </c>
      <c r="B97" t="s">
        <v>185</v>
      </c>
      <c r="C97" t="s">
        <v>194</v>
      </c>
      <c r="D97">
        <v>7698</v>
      </c>
      <c r="E97">
        <v>96661</v>
      </c>
      <c r="F97">
        <v>46853</v>
      </c>
      <c r="G97">
        <v>70486</v>
      </c>
      <c r="H97">
        <v>3673</v>
      </c>
      <c r="I97">
        <v>69988</v>
      </c>
      <c r="J97">
        <v>4401283</v>
      </c>
      <c r="K97">
        <v>6640</v>
      </c>
      <c r="L97">
        <v>47880</v>
      </c>
      <c r="M97">
        <v>20741</v>
      </c>
      <c r="N97">
        <v>162859</v>
      </c>
      <c r="O97">
        <v>21104</v>
      </c>
      <c r="P97">
        <v>296356</v>
      </c>
      <c r="Q97">
        <v>88652</v>
      </c>
      <c r="R97">
        <v>68242</v>
      </c>
      <c r="S97">
        <v>2840</v>
      </c>
      <c r="T97">
        <v>1002</v>
      </c>
      <c r="U97">
        <v>123114</v>
      </c>
      <c r="V97">
        <v>1918</v>
      </c>
      <c r="W97">
        <v>5537990</v>
      </c>
    </row>
    <row r="98" spans="1:23" x14ac:dyDescent="0.3">
      <c r="A98" t="s">
        <v>186</v>
      </c>
      <c r="B98" t="s">
        <v>185</v>
      </c>
      <c r="C98" t="s">
        <v>193</v>
      </c>
      <c r="D98">
        <v>7732</v>
      </c>
      <c r="E98">
        <v>97060</v>
      </c>
      <c r="F98">
        <v>46879</v>
      </c>
      <c r="G98">
        <v>70801</v>
      </c>
      <c r="H98">
        <v>3675</v>
      </c>
      <c r="I98">
        <v>70027</v>
      </c>
      <c r="J98">
        <v>4419455</v>
      </c>
      <c r="K98">
        <v>6763</v>
      </c>
      <c r="L98">
        <v>48095</v>
      </c>
      <c r="M98">
        <v>20834</v>
      </c>
      <c r="N98">
        <v>163590</v>
      </c>
      <c r="O98">
        <v>21199</v>
      </c>
      <c r="P98">
        <v>297495</v>
      </c>
      <c r="Q98">
        <v>89050</v>
      </c>
      <c r="R98">
        <v>68548</v>
      </c>
      <c r="S98">
        <v>2842</v>
      </c>
      <c r="T98">
        <v>1002</v>
      </c>
      <c r="U98">
        <v>123645</v>
      </c>
      <c r="V98">
        <v>1919</v>
      </c>
      <c r="W98">
        <v>5560611</v>
      </c>
    </row>
    <row r="99" spans="1:23" x14ac:dyDescent="0.3">
      <c r="A99" t="s">
        <v>186</v>
      </c>
      <c r="B99" t="s">
        <v>185</v>
      </c>
      <c r="C99" t="s">
        <v>192</v>
      </c>
      <c r="D99">
        <v>7766</v>
      </c>
      <c r="E99">
        <v>97459</v>
      </c>
      <c r="F99">
        <v>46905</v>
      </c>
      <c r="G99">
        <v>71117</v>
      </c>
      <c r="H99">
        <v>3677</v>
      </c>
      <c r="I99">
        <v>70066</v>
      </c>
      <c r="J99">
        <v>4437628</v>
      </c>
      <c r="K99">
        <v>6887</v>
      </c>
      <c r="L99">
        <v>48310</v>
      </c>
      <c r="M99">
        <v>20927</v>
      </c>
      <c r="N99">
        <v>164321</v>
      </c>
      <c r="O99">
        <v>21293</v>
      </c>
      <c r="P99">
        <v>298635</v>
      </c>
      <c r="Q99">
        <v>89448</v>
      </c>
      <c r="R99">
        <v>68854</v>
      </c>
      <c r="S99">
        <v>2844</v>
      </c>
      <c r="T99">
        <v>1003</v>
      </c>
      <c r="U99">
        <v>124177</v>
      </c>
      <c r="V99">
        <v>1920</v>
      </c>
      <c r="W99">
        <v>5583237</v>
      </c>
    </row>
    <row r="100" spans="1:23" x14ac:dyDescent="0.3">
      <c r="A100" t="s">
        <v>186</v>
      </c>
      <c r="B100" t="s">
        <v>185</v>
      </c>
      <c r="C100" t="s">
        <v>191</v>
      </c>
      <c r="D100">
        <v>7801</v>
      </c>
      <c r="E100">
        <v>97858</v>
      </c>
      <c r="F100">
        <v>46931</v>
      </c>
      <c r="G100">
        <v>71432</v>
      </c>
      <c r="H100">
        <v>3679</v>
      </c>
      <c r="I100">
        <v>70105</v>
      </c>
      <c r="J100">
        <v>4455800</v>
      </c>
      <c r="K100">
        <v>7010</v>
      </c>
      <c r="L100">
        <v>48525</v>
      </c>
      <c r="M100">
        <v>21020</v>
      </c>
      <c r="N100">
        <v>165052</v>
      </c>
      <c r="O100">
        <v>21388</v>
      </c>
      <c r="P100">
        <v>299775</v>
      </c>
      <c r="Q100">
        <v>89846</v>
      </c>
      <c r="R100">
        <v>69160</v>
      </c>
      <c r="S100">
        <v>2845</v>
      </c>
      <c r="T100">
        <v>1003</v>
      </c>
      <c r="U100">
        <v>124708</v>
      </c>
      <c r="V100">
        <v>1921</v>
      </c>
      <c r="W100">
        <v>5605859</v>
      </c>
    </row>
    <row r="101" spans="1:23" x14ac:dyDescent="0.3">
      <c r="A101" t="s">
        <v>186</v>
      </c>
      <c r="B101" t="s">
        <v>185</v>
      </c>
      <c r="C101" t="s">
        <v>190</v>
      </c>
      <c r="D101">
        <v>7835</v>
      </c>
      <c r="E101">
        <v>98257</v>
      </c>
      <c r="F101">
        <v>46957</v>
      </c>
      <c r="G101">
        <v>71748</v>
      </c>
      <c r="H101">
        <v>3681</v>
      </c>
      <c r="I101">
        <v>70144</v>
      </c>
      <c r="J101">
        <v>4473973</v>
      </c>
      <c r="K101">
        <v>7134</v>
      </c>
      <c r="L101">
        <v>48740</v>
      </c>
      <c r="M101">
        <v>21113</v>
      </c>
      <c r="N101">
        <v>165783</v>
      </c>
      <c r="O101">
        <v>21483</v>
      </c>
      <c r="P101">
        <v>300914</v>
      </c>
      <c r="Q101">
        <v>90243</v>
      </c>
      <c r="R101">
        <v>69467</v>
      </c>
      <c r="S101">
        <v>2847</v>
      </c>
      <c r="T101">
        <v>1004</v>
      </c>
      <c r="U101">
        <v>125240</v>
      </c>
      <c r="V101">
        <v>1922</v>
      </c>
      <c r="W101">
        <v>5628485</v>
      </c>
    </row>
    <row r="102" spans="1:23" x14ac:dyDescent="0.3">
      <c r="A102" t="s">
        <v>186</v>
      </c>
      <c r="B102" t="s">
        <v>185</v>
      </c>
      <c r="C102" t="s">
        <v>189</v>
      </c>
      <c r="D102">
        <v>7906</v>
      </c>
      <c r="E102">
        <v>99151</v>
      </c>
      <c r="F102">
        <v>47139</v>
      </c>
      <c r="G102">
        <v>72393</v>
      </c>
      <c r="H102">
        <v>3696</v>
      </c>
      <c r="I102">
        <v>70415</v>
      </c>
      <c r="J102">
        <v>4514665</v>
      </c>
      <c r="K102">
        <v>7370</v>
      </c>
      <c r="L102">
        <v>49179</v>
      </c>
      <c r="M102">
        <v>21304</v>
      </c>
      <c r="N102">
        <v>167278</v>
      </c>
      <c r="O102">
        <v>21677</v>
      </c>
      <c r="P102">
        <v>303575</v>
      </c>
      <c r="Q102">
        <v>91058</v>
      </c>
      <c r="R102">
        <v>70093</v>
      </c>
      <c r="S102">
        <v>2858</v>
      </c>
      <c r="T102">
        <v>1008</v>
      </c>
      <c r="U102">
        <v>126361</v>
      </c>
      <c r="V102">
        <v>1929</v>
      </c>
      <c r="W102">
        <v>5679055</v>
      </c>
    </row>
    <row r="103" spans="1:23" x14ac:dyDescent="0.3">
      <c r="A103" t="s">
        <v>186</v>
      </c>
      <c r="B103" t="s">
        <v>185</v>
      </c>
      <c r="C103" t="s">
        <v>188</v>
      </c>
      <c r="D103">
        <v>7958</v>
      </c>
      <c r="E103">
        <v>99797</v>
      </c>
      <c r="F103">
        <v>47243</v>
      </c>
      <c r="G103">
        <v>72874</v>
      </c>
      <c r="H103">
        <v>3704</v>
      </c>
      <c r="I103">
        <v>70571</v>
      </c>
      <c r="J103">
        <v>4544097</v>
      </c>
      <c r="K103">
        <v>7550</v>
      </c>
      <c r="L103">
        <v>49507</v>
      </c>
      <c r="M103">
        <v>21445</v>
      </c>
      <c r="N103">
        <v>168391</v>
      </c>
      <c r="O103">
        <v>21821</v>
      </c>
      <c r="P103">
        <v>305475</v>
      </c>
      <c r="Q103">
        <v>91663</v>
      </c>
      <c r="R103">
        <v>70560</v>
      </c>
      <c r="S103">
        <v>2864</v>
      </c>
      <c r="T103">
        <v>1010</v>
      </c>
      <c r="U103">
        <v>127187</v>
      </c>
      <c r="V103">
        <v>1934</v>
      </c>
      <c r="W103">
        <v>5715651</v>
      </c>
    </row>
    <row r="104" spans="1:23" x14ac:dyDescent="0.3">
      <c r="A104" t="s">
        <v>186</v>
      </c>
      <c r="B104" t="s">
        <v>185</v>
      </c>
      <c r="C104" t="s">
        <v>187</v>
      </c>
      <c r="D104">
        <v>8011</v>
      </c>
      <c r="E104">
        <v>100444</v>
      </c>
      <c r="F104">
        <v>47347</v>
      </c>
      <c r="G104">
        <v>73354</v>
      </c>
      <c r="H104">
        <v>3712</v>
      </c>
      <c r="I104">
        <v>70726</v>
      </c>
      <c r="J104">
        <v>4573529</v>
      </c>
      <c r="K104">
        <v>7730</v>
      </c>
      <c r="L104">
        <v>49834</v>
      </c>
      <c r="M104">
        <v>21587</v>
      </c>
      <c r="N104">
        <v>169504</v>
      </c>
      <c r="O104">
        <v>21965</v>
      </c>
      <c r="P104">
        <v>307375</v>
      </c>
      <c r="Q104">
        <v>92269</v>
      </c>
      <c r="R104">
        <v>71026</v>
      </c>
      <c r="S104">
        <v>2870</v>
      </c>
      <c r="T104">
        <v>1012</v>
      </c>
      <c r="U104">
        <v>128013</v>
      </c>
      <c r="V104">
        <v>1938</v>
      </c>
      <c r="W104">
        <v>5752246</v>
      </c>
    </row>
    <row r="105" spans="1:23" x14ac:dyDescent="0.3">
      <c r="A105" t="s">
        <v>186</v>
      </c>
      <c r="B105" t="s">
        <v>185</v>
      </c>
      <c r="C105" t="s">
        <v>184</v>
      </c>
      <c r="D105">
        <v>8144</v>
      </c>
      <c r="E105">
        <v>102203</v>
      </c>
      <c r="F105">
        <v>47801</v>
      </c>
      <c r="G105">
        <v>74578</v>
      </c>
      <c r="H105">
        <v>3747</v>
      </c>
      <c r="I105">
        <v>71404</v>
      </c>
      <c r="J105">
        <v>4653631</v>
      </c>
      <c r="K105">
        <v>8163</v>
      </c>
      <c r="L105">
        <v>50667</v>
      </c>
      <c r="M105">
        <v>21948</v>
      </c>
      <c r="N105">
        <v>172338</v>
      </c>
      <c r="O105">
        <v>22332</v>
      </c>
      <c r="P105">
        <v>312696</v>
      </c>
      <c r="Q105">
        <v>93812</v>
      </c>
      <c r="R105">
        <v>72214</v>
      </c>
      <c r="S105">
        <v>2898</v>
      </c>
      <c r="T105">
        <v>1022</v>
      </c>
      <c r="U105">
        <v>130166</v>
      </c>
      <c r="V105">
        <v>1956</v>
      </c>
      <c r="W105">
        <v>5851720</v>
      </c>
    </row>
    <row r="106" spans="1:23" x14ac:dyDescent="0.3">
      <c r="A106" t="s">
        <v>79</v>
      </c>
      <c r="B106" t="s">
        <v>171</v>
      </c>
      <c r="C106" t="s">
        <v>183</v>
      </c>
      <c r="D106">
        <v>8082</v>
      </c>
      <c r="E106">
        <v>101266</v>
      </c>
      <c r="F106">
        <v>47352</v>
      </c>
      <c r="G106">
        <v>74008</v>
      </c>
      <c r="H106">
        <v>3712</v>
      </c>
      <c r="I106">
        <v>70734</v>
      </c>
      <c r="J106">
        <v>4610988</v>
      </c>
      <c r="K106">
        <v>8163</v>
      </c>
      <c r="L106">
        <v>50291</v>
      </c>
      <c r="M106">
        <v>21785</v>
      </c>
      <c r="N106">
        <v>171060</v>
      </c>
      <c r="O106">
        <v>22167</v>
      </c>
      <c r="P106">
        <v>309632</v>
      </c>
      <c r="Q106">
        <v>93116</v>
      </c>
      <c r="R106">
        <v>71678</v>
      </c>
      <c r="S106">
        <v>2871</v>
      </c>
      <c r="T106">
        <v>1012</v>
      </c>
      <c r="U106">
        <v>129094</v>
      </c>
      <c r="V106">
        <v>1938</v>
      </c>
      <c r="W106">
        <v>5798949</v>
      </c>
    </row>
    <row r="107" spans="1:23" x14ac:dyDescent="0.3">
      <c r="A107" t="s">
        <v>79</v>
      </c>
      <c r="B107" t="s">
        <v>171</v>
      </c>
      <c r="C107" t="s">
        <v>182</v>
      </c>
      <c r="D107">
        <v>8092</v>
      </c>
      <c r="E107">
        <v>101340</v>
      </c>
      <c r="F107">
        <v>47265</v>
      </c>
      <c r="G107">
        <v>74102</v>
      </c>
      <c r="H107">
        <v>3706</v>
      </c>
      <c r="I107">
        <v>70604</v>
      </c>
      <c r="J107">
        <v>4614323</v>
      </c>
      <c r="K107">
        <v>8297</v>
      </c>
      <c r="L107">
        <v>50361</v>
      </c>
      <c r="M107">
        <v>21815</v>
      </c>
      <c r="N107">
        <v>171296</v>
      </c>
      <c r="O107">
        <v>22197</v>
      </c>
      <c r="P107">
        <v>309736</v>
      </c>
      <c r="Q107">
        <v>93245</v>
      </c>
      <c r="R107">
        <v>71777</v>
      </c>
      <c r="S107">
        <v>2865</v>
      </c>
      <c r="T107">
        <v>1010</v>
      </c>
      <c r="U107">
        <v>129222</v>
      </c>
      <c r="V107">
        <v>1935</v>
      </c>
      <c r="W107">
        <v>5803188</v>
      </c>
    </row>
    <row r="108" spans="1:23" x14ac:dyDescent="0.3">
      <c r="A108" t="s">
        <v>79</v>
      </c>
      <c r="B108" t="s">
        <v>171</v>
      </c>
      <c r="C108" t="s">
        <v>181</v>
      </c>
      <c r="D108">
        <v>8103</v>
      </c>
      <c r="E108">
        <v>101413</v>
      </c>
      <c r="F108">
        <v>47178</v>
      </c>
      <c r="G108">
        <v>74195</v>
      </c>
      <c r="H108">
        <v>3699</v>
      </c>
      <c r="I108">
        <v>70474</v>
      </c>
      <c r="J108">
        <v>4617658</v>
      </c>
      <c r="K108">
        <v>8432</v>
      </c>
      <c r="L108">
        <v>50430</v>
      </c>
      <c r="M108">
        <v>21845</v>
      </c>
      <c r="N108">
        <v>171532</v>
      </c>
      <c r="O108">
        <v>22228</v>
      </c>
      <c r="P108">
        <v>309839</v>
      </c>
      <c r="Q108">
        <v>93373</v>
      </c>
      <c r="R108">
        <v>71876</v>
      </c>
      <c r="S108">
        <v>2860</v>
      </c>
      <c r="T108">
        <v>1008</v>
      </c>
      <c r="U108">
        <v>129350</v>
      </c>
      <c r="V108">
        <v>1931</v>
      </c>
      <c r="W108">
        <v>5807424</v>
      </c>
    </row>
    <row r="109" spans="1:23" x14ac:dyDescent="0.3">
      <c r="A109" t="s">
        <v>79</v>
      </c>
      <c r="B109" t="s">
        <v>171</v>
      </c>
      <c r="C109" t="s">
        <v>180</v>
      </c>
      <c r="D109">
        <v>8113</v>
      </c>
      <c r="E109">
        <v>101486</v>
      </c>
      <c r="F109">
        <v>47091</v>
      </c>
      <c r="G109">
        <v>74288</v>
      </c>
      <c r="H109">
        <v>3692</v>
      </c>
      <c r="I109">
        <v>70344</v>
      </c>
      <c r="J109">
        <v>4620994</v>
      </c>
      <c r="K109">
        <v>8566</v>
      </c>
      <c r="L109">
        <v>50500</v>
      </c>
      <c r="M109">
        <v>21875</v>
      </c>
      <c r="N109">
        <v>171768</v>
      </c>
      <c r="O109">
        <v>22258</v>
      </c>
      <c r="P109">
        <v>309943</v>
      </c>
      <c r="Q109">
        <v>93502</v>
      </c>
      <c r="R109">
        <v>71975</v>
      </c>
      <c r="S109">
        <v>2855</v>
      </c>
      <c r="T109">
        <v>1007</v>
      </c>
      <c r="U109">
        <v>129478</v>
      </c>
      <c r="V109">
        <v>1927</v>
      </c>
      <c r="W109">
        <v>5811662</v>
      </c>
    </row>
    <row r="110" spans="1:23" x14ac:dyDescent="0.3">
      <c r="A110" t="s">
        <v>79</v>
      </c>
      <c r="B110" t="s">
        <v>171</v>
      </c>
      <c r="C110" t="s">
        <v>179</v>
      </c>
      <c r="D110">
        <v>8152</v>
      </c>
      <c r="E110">
        <v>101986</v>
      </c>
      <c r="F110">
        <v>47107</v>
      </c>
      <c r="G110">
        <v>74643</v>
      </c>
      <c r="H110">
        <v>3693</v>
      </c>
      <c r="I110">
        <v>70368</v>
      </c>
      <c r="J110">
        <v>4643743</v>
      </c>
      <c r="K110">
        <v>8935</v>
      </c>
      <c r="L110">
        <v>50757</v>
      </c>
      <c r="M110">
        <v>21987</v>
      </c>
      <c r="N110">
        <v>172643</v>
      </c>
      <c r="O110">
        <v>22372</v>
      </c>
      <c r="P110">
        <v>311316</v>
      </c>
      <c r="Q110">
        <v>93978</v>
      </c>
      <c r="R110">
        <v>72341</v>
      </c>
      <c r="S110">
        <v>2856</v>
      </c>
      <c r="T110">
        <v>1007</v>
      </c>
      <c r="U110">
        <v>130074</v>
      </c>
      <c r="V110">
        <v>1928</v>
      </c>
      <c r="W110">
        <v>5839886</v>
      </c>
    </row>
    <row r="111" spans="1:23" x14ac:dyDescent="0.3">
      <c r="A111" t="s">
        <v>79</v>
      </c>
      <c r="B111" t="s">
        <v>171</v>
      </c>
      <c r="C111" t="s">
        <v>178</v>
      </c>
      <c r="D111">
        <v>8176</v>
      </c>
      <c r="E111">
        <v>102272</v>
      </c>
      <c r="F111">
        <v>47071</v>
      </c>
      <c r="G111">
        <v>74867</v>
      </c>
      <c r="H111">
        <v>3690</v>
      </c>
      <c r="I111">
        <v>70315</v>
      </c>
      <c r="J111">
        <v>4656785</v>
      </c>
      <c r="K111">
        <v>9187</v>
      </c>
      <c r="L111">
        <v>50920</v>
      </c>
      <c r="M111">
        <v>22057</v>
      </c>
      <c r="N111">
        <v>173198</v>
      </c>
      <c r="O111">
        <v>22444</v>
      </c>
      <c r="P111">
        <v>312055</v>
      </c>
      <c r="Q111">
        <v>94280</v>
      </c>
      <c r="R111">
        <v>72574</v>
      </c>
      <c r="S111">
        <v>2854</v>
      </c>
      <c r="T111">
        <v>1006</v>
      </c>
      <c r="U111">
        <v>130436</v>
      </c>
      <c r="V111">
        <v>1927</v>
      </c>
      <c r="W111">
        <v>5856114</v>
      </c>
    </row>
    <row r="112" spans="1:23" x14ac:dyDescent="0.3">
      <c r="A112" t="s">
        <v>79</v>
      </c>
      <c r="B112" t="s">
        <v>171</v>
      </c>
      <c r="C112" t="s">
        <v>177</v>
      </c>
      <c r="D112">
        <v>8200</v>
      </c>
      <c r="E112">
        <v>102558</v>
      </c>
      <c r="F112">
        <v>47036</v>
      </c>
      <c r="G112">
        <v>75091</v>
      </c>
      <c r="H112">
        <v>3688</v>
      </c>
      <c r="I112">
        <v>70261</v>
      </c>
      <c r="J112">
        <v>4669827</v>
      </c>
      <c r="K112">
        <v>9438</v>
      </c>
      <c r="L112">
        <v>51083</v>
      </c>
      <c r="M112">
        <v>22128</v>
      </c>
      <c r="N112">
        <v>173753</v>
      </c>
      <c r="O112">
        <v>22516</v>
      </c>
      <c r="P112">
        <v>312793</v>
      </c>
      <c r="Q112">
        <v>94582</v>
      </c>
      <c r="R112">
        <v>72806</v>
      </c>
      <c r="S112">
        <v>2852</v>
      </c>
      <c r="T112">
        <v>1005</v>
      </c>
      <c r="U112">
        <v>130798</v>
      </c>
      <c r="V112">
        <v>1925</v>
      </c>
      <c r="W112">
        <v>5872340</v>
      </c>
    </row>
    <row r="113" spans="1:23" x14ac:dyDescent="0.3">
      <c r="A113" t="s">
        <v>79</v>
      </c>
      <c r="B113" t="s">
        <v>171</v>
      </c>
      <c r="C113" t="s">
        <v>176</v>
      </c>
      <c r="D113">
        <v>8225</v>
      </c>
      <c r="E113">
        <v>102845</v>
      </c>
      <c r="F113">
        <v>47000</v>
      </c>
      <c r="G113">
        <v>75316</v>
      </c>
      <c r="H113">
        <v>3685</v>
      </c>
      <c r="I113">
        <v>70208</v>
      </c>
      <c r="J113">
        <v>4682869</v>
      </c>
      <c r="K113">
        <v>9690</v>
      </c>
      <c r="L113">
        <v>51246</v>
      </c>
      <c r="M113">
        <v>22199</v>
      </c>
      <c r="N113">
        <v>174308</v>
      </c>
      <c r="O113">
        <v>22588</v>
      </c>
      <c r="P113">
        <v>313532</v>
      </c>
      <c r="Q113">
        <v>94884</v>
      </c>
      <c r="R113">
        <v>73039</v>
      </c>
      <c r="S113">
        <v>2849</v>
      </c>
      <c r="T113">
        <v>1005</v>
      </c>
      <c r="U113">
        <v>131160</v>
      </c>
      <c r="V113">
        <v>1924</v>
      </c>
      <c r="W113">
        <v>5888572</v>
      </c>
    </row>
    <row r="114" spans="1:23" x14ac:dyDescent="0.3">
      <c r="A114" t="s">
        <v>79</v>
      </c>
      <c r="B114" t="s">
        <v>171</v>
      </c>
      <c r="C114" t="s">
        <v>175</v>
      </c>
      <c r="D114">
        <v>8250</v>
      </c>
      <c r="E114">
        <v>103131</v>
      </c>
      <c r="F114">
        <v>46964</v>
      </c>
      <c r="G114">
        <v>75540</v>
      </c>
      <c r="H114">
        <v>3682</v>
      </c>
      <c r="I114">
        <v>70155</v>
      </c>
      <c r="J114">
        <v>4695912</v>
      </c>
      <c r="K114">
        <v>9942</v>
      </c>
      <c r="L114">
        <v>51410</v>
      </c>
      <c r="M114">
        <v>22270</v>
      </c>
      <c r="N114">
        <v>174864</v>
      </c>
      <c r="O114">
        <v>22660</v>
      </c>
      <c r="P114">
        <v>314270</v>
      </c>
      <c r="Q114">
        <v>95187</v>
      </c>
      <c r="R114">
        <v>73272</v>
      </c>
      <c r="S114">
        <v>2847</v>
      </c>
      <c r="T114">
        <v>1004</v>
      </c>
      <c r="U114">
        <v>131522</v>
      </c>
      <c r="V114">
        <v>1922</v>
      </c>
      <c r="W114">
        <v>5904804</v>
      </c>
    </row>
    <row r="115" spans="1:23" x14ac:dyDescent="0.3">
      <c r="A115" t="s">
        <v>79</v>
      </c>
      <c r="B115" t="s">
        <v>171</v>
      </c>
      <c r="C115" t="s">
        <v>174</v>
      </c>
      <c r="D115">
        <v>8303</v>
      </c>
      <c r="E115">
        <v>103844</v>
      </c>
      <c r="F115">
        <v>47032</v>
      </c>
      <c r="G115">
        <v>76026</v>
      </c>
      <c r="H115">
        <v>3687</v>
      </c>
      <c r="I115">
        <v>70256</v>
      </c>
      <c r="J115">
        <v>4728367</v>
      </c>
      <c r="K115">
        <v>10428</v>
      </c>
      <c r="L115">
        <v>51760</v>
      </c>
      <c r="M115">
        <v>22422</v>
      </c>
      <c r="N115">
        <v>176057</v>
      </c>
      <c r="O115">
        <v>22814</v>
      </c>
      <c r="P115">
        <v>316278</v>
      </c>
      <c r="Q115">
        <v>95836</v>
      </c>
      <c r="R115">
        <v>73772</v>
      </c>
      <c r="S115">
        <v>2851</v>
      </c>
      <c r="T115">
        <v>1005</v>
      </c>
      <c r="U115">
        <v>132352</v>
      </c>
      <c r="V115">
        <v>1925</v>
      </c>
      <c r="W115">
        <v>5945015</v>
      </c>
    </row>
    <row r="116" spans="1:23" x14ac:dyDescent="0.3">
      <c r="A116" t="s">
        <v>79</v>
      </c>
      <c r="B116" t="s">
        <v>171</v>
      </c>
      <c r="C116" t="s">
        <v>173</v>
      </c>
      <c r="D116">
        <v>8341</v>
      </c>
      <c r="E116">
        <v>104344</v>
      </c>
      <c r="F116">
        <v>47048</v>
      </c>
      <c r="G116">
        <v>76381</v>
      </c>
      <c r="H116">
        <v>3688</v>
      </c>
      <c r="I116">
        <v>70279</v>
      </c>
      <c r="J116">
        <v>4751116</v>
      </c>
      <c r="K116">
        <v>10798</v>
      </c>
      <c r="L116">
        <v>52018</v>
      </c>
      <c r="M116">
        <v>22533</v>
      </c>
      <c r="N116">
        <v>176932</v>
      </c>
      <c r="O116">
        <v>22928</v>
      </c>
      <c r="P116">
        <v>317652</v>
      </c>
      <c r="Q116">
        <v>96312</v>
      </c>
      <c r="R116">
        <v>74138</v>
      </c>
      <c r="S116">
        <v>2852</v>
      </c>
      <c r="T116">
        <v>1006</v>
      </c>
      <c r="U116">
        <v>132947</v>
      </c>
      <c r="V116">
        <v>1926</v>
      </c>
      <c r="W116">
        <v>5973239</v>
      </c>
    </row>
    <row r="117" spans="1:23" x14ac:dyDescent="0.3">
      <c r="A117" t="s">
        <v>79</v>
      </c>
      <c r="B117" t="s">
        <v>171</v>
      </c>
      <c r="C117" t="s">
        <v>172</v>
      </c>
      <c r="D117">
        <v>8380</v>
      </c>
      <c r="E117">
        <v>104843</v>
      </c>
      <c r="F117">
        <v>47064</v>
      </c>
      <c r="G117">
        <v>76736</v>
      </c>
      <c r="H117">
        <v>3690</v>
      </c>
      <c r="I117">
        <v>70303</v>
      </c>
      <c r="J117">
        <v>4773865</v>
      </c>
      <c r="K117">
        <v>11167</v>
      </c>
      <c r="L117">
        <v>52275</v>
      </c>
      <c r="M117">
        <v>22644</v>
      </c>
      <c r="N117">
        <v>177806</v>
      </c>
      <c r="O117">
        <v>23041</v>
      </c>
      <c r="P117">
        <v>319025</v>
      </c>
      <c r="Q117">
        <v>96788</v>
      </c>
      <c r="R117">
        <v>74505</v>
      </c>
      <c r="S117">
        <v>2853</v>
      </c>
      <c r="T117">
        <v>1006</v>
      </c>
      <c r="U117">
        <v>133543</v>
      </c>
      <c r="V117">
        <v>1926</v>
      </c>
      <c r="W117">
        <v>6001460</v>
      </c>
    </row>
    <row r="118" spans="1:23" x14ac:dyDescent="0.3">
      <c r="A118" t="s">
        <v>79</v>
      </c>
      <c r="B118" t="s">
        <v>171</v>
      </c>
      <c r="C118" t="s">
        <v>170</v>
      </c>
      <c r="D118">
        <v>8483</v>
      </c>
      <c r="E118">
        <v>106302</v>
      </c>
      <c r="F118">
        <v>47311</v>
      </c>
      <c r="G118">
        <v>77680</v>
      </c>
      <c r="H118">
        <v>3709</v>
      </c>
      <c r="I118">
        <v>70672</v>
      </c>
      <c r="J118">
        <v>4840295</v>
      </c>
      <c r="K118">
        <v>12065</v>
      </c>
      <c r="L118">
        <v>52954</v>
      </c>
      <c r="M118">
        <v>22939</v>
      </c>
      <c r="N118">
        <v>180117</v>
      </c>
      <c r="O118">
        <v>23340</v>
      </c>
      <c r="P118">
        <v>323255</v>
      </c>
      <c r="Q118">
        <v>98046</v>
      </c>
      <c r="R118">
        <v>75473</v>
      </c>
      <c r="S118">
        <v>2868</v>
      </c>
      <c r="T118">
        <v>1011</v>
      </c>
      <c r="U118">
        <v>135191</v>
      </c>
      <c r="V118">
        <v>1936</v>
      </c>
      <c r="W118">
        <v>6083647</v>
      </c>
    </row>
    <row r="119" spans="1:23" x14ac:dyDescent="0.3">
      <c r="A119" t="s">
        <v>79</v>
      </c>
      <c r="B119" t="s">
        <v>157</v>
      </c>
      <c r="C119" t="s">
        <v>169</v>
      </c>
      <c r="D119">
        <v>8434</v>
      </c>
      <c r="E119">
        <v>105493</v>
      </c>
      <c r="F119">
        <v>47011</v>
      </c>
      <c r="G119">
        <v>77231</v>
      </c>
      <c r="H119">
        <v>3686</v>
      </c>
      <c r="I119">
        <v>70224</v>
      </c>
      <c r="J119">
        <v>4803431</v>
      </c>
      <c r="K119">
        <v>11712</v>
      </c>
      <c r="L119">
        <v>52635</v>
      </c>
      <c r="M119">
        <v>22800</v>
      </c>
      <c r="N119">
        <v>179031</v>
      </c>
      <c r="O119">
        <v>23200</v>
      </c>
      <c r="P119">
        <v>320730</v>
      </c>
      <c r="Q119">
        <v>97455</v>
      </c>
      <c r="R119">
        <v>75018</v>
      </c>
      <c r="S119">
        <v>2850</v>
      </c>
      <c r="T119">
        <v>1005</v>
      </c>
      <c r="U119">
        <v>134351</v>
      </c>
      <c r="V119">
        <v>1924</v>
      </c>
      <c r="W119">
        <v>6038221</v>
      </c>
    </row>
    <row r="120" spans="1:23" x14ac:dyDescent="0.3">
      <c r="A120" t="s">
        <v>79</v>
      </c>
      <c r="B120" t="s">
        <v>157</v>
      </c>
      <c r="C120" t="s">
        <v>168</v>
      </c>
      <c r="D120">
        <v>8445</v>
      </c>
      <c r="E120">
        <v>105578</v>
      </c>
      <c r="F120">
        <v>46926</v>
      </c>
      <c r="G120">
        <v>77331</v>
      </c>
      <c r="H120">
        <v>3679</v>
      </c>
      <c r="I120">
        <v>70098</v>
      </c>
      <c r="J120">
        <v>4807294</v>
      </c>
      <c r="K120">
        <v>11853</v>
      </c>
      <c r="L120">
        <v>52709</v>
      </c>
      <c r="M120">
        <v>22833</v>
      </c>
      <c r="N120">
        <v>179285</v>
      </c>
      <c r="O120">
        <v>23232</v>
      </c>
      <c r="P120">
        <v>320868</v>
      </c>
      <c r="Q120">
        <v>97593</v>
      </c>
      <c r="R120">
        <v>75124</v>
      </c>
      <c r="S120">
        <v>2845</v>
      </c>
      <c r="T120">
        <v>1003</v>
      </c>
      <c r="U120">
        <v>134492</v>
      </c>
      <c r="V120">
        <v>1921</v>
      </c>
      <c r="W120">
        <v>6043109</v>
      </c>
    </row>
    <row r="121" spans="1:23" x14ac:dyDescent="0.3">
      <c r="A121" t="s">
        <v>79</v>
      </c>
      <c r="B121" t="s">
        <v>157</v>
      </c>
      <c r="C121" t="s">
        <v>167</v>
      </c>
      <c r="D121">
        <v>8456</v>
      </c>
      <c r="E121">
        <v>105662</v>
      </c>
      <c r="F121">
        <v>46842</v>
      </c>
      <c r="G121">
        <v>77432</v>
      </c>
      <c r="H121">
        <v>3672</v>
      </c>
      <c r="I121">
        <v>69972</v>
      </c>
      <c r="J121">
        <v>4811157</v>
      </c>
      <c r="K121">
        <v>11994</v>
      </c>
      <c r="L121">
        <v>52784</v>
      </c>
      <c r="M121">
        <v>22865</v>
      </c>
      <c r="N121">
        <v>179538</v>
      </c>
      <c r="O121">
        <v>23265</v>
      </c>
      <c r="P121">
        <v>321006</v>
      </c>
      <c r="Q121">
        <v>97731</v>
      </c>
      <c r="R121">
        <v>75230</v>
      </c>
      <c r="S121">
        <v>2840</v>
      </c>
      <c r="T121">
        <v>1001</v>
      </c>
      <c r="U121">
        <v>134633</v>
      </c>
      <c r="V121">
        <v>1917</v>
      </c>
      <c r="W121">
        <v>6047997</v>
      </c>
    </row>
    <row r="122" spans="1:23" x14ac:dyDescent="0.3">
      <c r="A122" t="s">
        <v>79</v>
      </c>
      <c r="B122" t="s">
        <v>157</v>
      </c>
      <c r="C122" t="s">
        <v>166</v>
      </c>
      <c r="D122">
        <v>8467</v>
      </c>
      <c r="E122">
        <v>105747</v>
      </c>
      <c r="F122">
        <v>46758</v>
      </c>
      <c r="G122">
        <v>77532</v>
      </c>
      <c r="H122">
        <v>3666</v>
      </c>
      <c r="I122">
        <v>69847</v>
      </c>
      <c r="J122">
        <v>4815020</v>
      </c>
      <c r="K122">
        <v>12134</v>
      </c>
      <c r="L122">
        <v>52858</v>
      </c>
      <c r="M122">
        <v>22897</v>
      </c>
      <c r="N122">
        <v>179792</v>
      </c>
      <c r="O122">
        <v>23298</v>
      </c>
      <c r="P122">
        <v>321144</v>
      </c>
      <c r="Q122">
        <v>97869</v>
      </c>
      <c r="R122">
        <v>75337</v>
      </c>
      <c r="S122">
        <v>2835</v>
      </c>
      <c r="T122">
        <v>1000</v>
      </c>
      <c r="U122">
        <v>134774</v>
      </c>
      <c r="V122">
        <v>1914</v>
      </c>
      <c r="W122">
        <v>6052889</v>
      </c>
    </row>
    <row r="123" spans="1:23" x14ac:dyDescent="0.3">
      <c r="A123" t="s">
        <v>79</v>
      </c>
      <c r="B123" t="s">
        <v>157</v>
      </c>
      <c r="C123" t="s">
        <v>165</v>
      </c>
      <c r="D123">
        <v>8508</v>
      </c>
      <c r="E123">
        <v>106277</v>
      </c>
      <c r="F123">
        <v>46781</v>
      </c>
      <c r="G123">
        <v>77906</v>
      </c>
      <c r="H123">
        <v>3668</v>
      </c>
      <c r="I123">
        <v>69881</v>
      </c>
      <c r="J123">
        <v>4839141</v>
      </c>
      <c r="K123">
        <v>12520</v>
      </c>
      <c r="L123">
        <v>53129</v>
      </c>
      <c r="M123">
        <v>23014</v>
      </c>
      <c r="N123">
        <v>180711</v>
      </c>
      <c r="O123">
        <v>23417</v>
      </c>
      <c r="P123">
        <v>322607</v>
      </c>
      <c r="Q123">
        <v>98370</v>
      </c>
      <c r="R123">
        <v>75722</v>
      </c>
      <c r="S123">
        <v>2836</v>
      </c>
      <c r="T123">
        <v>1000</v>
      </c>
      <c r="U123">
        <v>135402</v>
      </c>
      <c r="V123">
        <v>1915</v>
      </c>
      <c r="W123">
        <v>6082805</v>
      </c>
    </row>
    <row r="124" spans="1:23" x14ac:dyDescent="0.3">
      <c r="A124" t="s">
        <v>79</v>
      </c>
      <c r="B124" t="s">
        <v>157</v>
      </c>
      <c r="C124" t="s">
        <v>164</v>
      </c>
      <c r="D124">
        <v>8534</v>
      </c>
      <c r="E124">
        <v>106584</v>
      </c>
      <c r="F124">
        <v>46751</v>
      </c>
      <c r="G124">
        <v>78142</v>
      </c>
      <c r="H124">
        <v>3665</v>
      </c>
      <c r="I124">
        <v>69836</v>
      </c>
      <c r="J124">
        <v>4853133</v>
      </c>
      <c r="K124">
        <v>12783</v>
      </c>
      <c r="L124">
        <v>53301</v>
      </c>
      <c r="M124">
        <v>23089</v>
      </c>
      <c r="N124">
        <v>181298</v>
      </c>
      <c r="O124">
        <v>23493</v>
      </c>
      <c r="P124">
        <v>323408</v>
      </c>
      <c r="Q124">
        <v>98689</v>
      </c>
      <c r="R124">
        <v>75968</v>
      </c>
      <c r="S124">
        <v>2834</v>
      </c>
      <c r="T124">
        <v>999</v>
      </c>
      <c r="U124">
        <v>135787</v>
      </c>
      <c r="V124">
        <v>1914</v>
      </c>
      <c r="W124">
        <v>6100208</v>
      </c>
    </row>
    <row r="125" spans="1:23" x14ac:dyDescent="0.3">
      <c r="A125" t="s">
        <v>79</v>
      </c>
      <c r="B125" t="s">
        <v>157</v>
      </c>
      <c r="C125" t="s">
        <v>163</v>
      </c>
      <c r="D125">
        <v>8560</v>
      </c>
      <c r="E125">
        <v>106892</v>
      </c>
      <c r="F125">
        <v>46720</v>
      </c>
      <c r="G125">
        <v>78379</v>
      </c>
      <c r="H125">
        <v>3663</v>
      </c>
      <c r="I125">
        <v>69790</v>
      </c>
      <c r="J125">
        <v>4867124</v>
      </c>
      <c r="K125">
        <v>13046</v>
      </c>
      <c r="L125">
        <v>53474</v>
      </c>
      <c r="M125">
        <v>23164</v>
      </c>
      <c r="N125">
        <v>181884</v>
      </c>
      <c r="O125">
        <v>23569</v>
      </c>
      <c r="P125">
        <v>324208</v>
      </c>
      <c r="Q125">
        <v>99008</v>
      </c>
      <c r="R125">
        <v>76214</v>
      </c>
      <c r="S125">
        <v>2832</v>
      </c>
      <c r="T125">
        <v>999</v>
      </c>
      <c r="U125">
        <v>136172</v>
      </c>
      <c r="V125">
        <v>1912</v>
      </c>
      <c r="W125">
        <v>6117610</v>
      </c>
    </row>
    <row r="126" spans="1:23" x14ac:dyDescent="0.3">
      <c r="A126" t="s">
        <v>79</v>
      </c>
      <c r="B126" t="s">
        <v>157</v>
      </c>
      <c r="C126" t="s">
        <v>162</v>
      </c>
      <c r="D126">
        <v>8586</v>
      </c>
      <c r="E126">
        <v>107199</v>
      </c>
      <c r="F126">
        <v>46690</v>
      </c>
      <c r="G126">
        <v>78616</v>
      </c>
      <c r="H126">
        <v>3660</v>
      </c>
      <c r="I126">
        <v>69744</v>
      </c>
      <c r="J126">
        <v>4881116</v>
      </c>
      <c r="K126">
        <v>13310</v>
      </c>
      <c r="L126">
        <v>53646</v>
      </c>
      <c r="M126">
        <v>23238</v>
      </c>
      <c r="N126">
        <v>182470</v>
      </c>
      <c r="O126">
        <v>23645</v>
      </c>
      <c r="P126">
        <v>325009</v>
      </c>
      <c r="Q126">
        <v>99327</v>
      </c>
      <c r="R126">
        <v>76459</v>
      </c>
      <c r="S126">
        <v>2830</v>
      </c>
      <c r="T126">
        <v>998</v>
      </c>
      <c r="U126">
        <v>136557</v>
      </c>
      <c r="V126">
        <v>1911</v>
      </c>
      <c r="W126">
        <v>6135011</v>
      </c>
    </row>
    <row r="127" spans="1:23" x14ac:dyDescent="0.3">
      <c r="A127" t="s">
        <v>79</v>
      </c>
      <c r="B127" t="s">
        <v>157</v>
      </c>
      <c r="C127" t="s">
        <v>161</v>
      </c>
      <c r="D127">
        <v>8611</v>
      </c>
      <c r="E127">
        <v>107506</v>
      </c>
      <c r="F127">
        <v>46659</v>
      </c>
      <c r="G127">
        <v>78853</v>
      </c>
      <c r="H127">
        <v>3658</v>
      </c>
      <c r="I127">
        <v>69699</v>
      </c>
      <c r="J127">
        <v>4895108</v>
      </c>
      <c r="K127">
        <v>13573</v>
      </c>
      <c r="L127">
        <v>53818</v>
      </c>
      <c r="M127">
        <v>23313</v>
      </c>
      <c r="N127">
        <v>183057</v>
      </c>
      <c r="O127">
        <v>23721</v>
      </c>
      <c r="P127">
        <v>325809</v>
      </c>
      <c r="Q127">
        <v>99647</v>
      </c>
      <c r="R127">
        <v>76705</v>
      </c>
      <c r="S127">
        <v>2829</v>
      </c>
      <c r="T127">
        <v>997</v>
      </c>
      <c r="U127">
        <v>136942</v>
      </c>
      <c r="V127">
        <v>1910</v>
      </c>
      <c r="W127">
        <v>6152415</v>
      </c>
    </row>
    <row r="128" spans="1:23" x14ac:dyDescent="0.3">
      <c r="A128" t="s">
        <v>79</v>
      </c>
      <c r="B128" t="s">
        <v>157</v>
      </c>
      <c r="C128" t="s">
        <v>160</v>
      </c>
      <c r="D128">
        <v>8667</v>
      </c>
      <c r="E128">
        <v>108258</v>
      </c>
      <c r="F128">
        <v>46736</v>
      </c>
      <c r="G128">
        <v>79364</v>
      </c>
      <c r="H128">
        <v>3664</v>
      </c>
      <c r="I128">
        <v>69813</v>
      </c>
      <c r="J128">
        <v>4929357</v>
      </c>
      <c r="K128">
        <v>14081</v>
      </c>
      <c r="L128">
        <v>54187</v>
      </c>
      <c r="M128">
        <v>23472</v>
      </c>
      <c r="N128">
        <v>184310</v>
      </c>
      <c r="O128">
        <v>23884</v>
      </c>
      <c r="P128">
        <v>327935</v>
      </c>
      <c r="Q128">
        <v>100328</v>
      </c>
      <c r="R128">
        <v>77230</v>
      </c>
      <c r="S128">
        <v>2833</v>
      </c>
      <c r="T128">
        <v>999</v>
      </c>
      <c r="U128">
        <v>137814</v>
      </c>
      <c r="V128">
        <v>1913</v>
      </c>
      <c r="W128">
        <v>6194845</v>
      </c>
    </row>
    <row r="129" spans="1:23" x14ac:dyDescent="0.3">
      <c r="A129" t="s">
        <v>79</v>
      </c>
      <c r="B129" t="s">
        <v>157</v>
      </c>
      <c r="C129" t="s">
        <v>159</v>
      </c>
      <c r="D129">
        <v>8708</v>
      </c>
      <c r="E129">
        <v>108788</v>
      </c>
      <c r="F129">
        <v>46759</v>
      </c>
      <c r="G129">
        <v>79737</v>
      </c>
      <c r="H129">
        <v>3666</v>
      </c>
      <c r="I129">
        <v>69848</v>
      </c>
      <c r="J129">
        <v>4953478</v>
      </c>
      <c r="K129">
        <v>14467</v>
      </c>
      <c r="L129">
        <v>54457</v>
      </c>
      <c r="M129">
        <v>23590</v>
      </c>
      <c r="N129">
        <v>185229</v>
      </c>
      <c r="O129">
        <v>24003</v>
      </c>
      <c r="P129">
        <v>329398</v>
      </c>
      <c r="Q129">
        <v>100829</v>
      </c>
      <c r="R129">
        <v>77615</v>
      </c>
      <c r="S129">
        <v>2835</v>
      </c>
      <c r="T129">
        <v>1000</v>
      </c>
      <c r="U129">
        <v>138443</v>
      </c>
      <c r="V129">
        <v>1914</v>
      </c>
      <c r="W129">
        <v>6224764</v>
      </c>
    </row>
    <row r="130" spans="1:23" x14ac:dyDescent="0.3">
      <c r="A130" t="s">
        <v>79</v>
      </c>
      <c r="B130" t="s">
        <v>157</v>
      </c>
      <c r="C130" t="s">
        <v>158</v>
      </c>
      <c r="D130">
        <v>8749</v>
      </c>
      <c r="E130">
        <v>109318</v>
      </c>
      <c r="F130">
        <v>46782</v>
      </c>
      <c r="G130">
        <v>80111</v>
      </c>
      <c r="H130">
        <v>3668</v>
      </c>
      <c r="I130">
        <v>69882</v>
      </c>
      <c r="J130">
        <v>4977598</v>
      </c>
      <c r="K130">
        <v>14853</v>
      </c>
      <c r="L130">
        <v>54727</v>
      </c>
      <c r="M130">
        <v>23707</v>
      </c>
      <c r="N130">
        <v>186149</v>
      </c>
      <c r="O130">
        <v>24122</v>
      </c>
      <c r="P130">
        <v>330861</v>
      </c>
      <c r="Q130">
        <v>101330</v>
      </c>
      <c r="R130">
        <v>78001</v>
      </c>
      <c r="S130">
        <v>2836</v>
      </c>
      <c r="T130">
        <v>1000</v>
      </c>
      <c r="U130">
        <v>139072</v>
      </c>
      <c r="V130">
        <v>1915</v>
      </c>
      <c r="W130">
        <v>6254681</v>
      </c>
    </row>
    <row r="131" spans="1:23" x14ac:dyDescent="0.3">
      <c r="A131" t="s">
        <v>79</v>
      </c>
      <c r="B131" t="s">
        <v>157</v>
      </c>
      <c r="C131" t="s">
        <v>156</v>
      </c>
      <c r="D131">
        <v>8857</v>
      </c>
      <c r="E131">
        <v>110848</v>
      </c>
      <c r="F131">
        <v>47047</v>
      </c>
      <c r="G131">
        <v>81099</v>
      </c>
      <c r="H131">
        <v>3688</v>
      </c>
      <c r="I131">
        <v>70278</v>
      </c>
      <c r="J131">
        <v>5047299</v>
      </c>
      <c r="K131">
        <v>15790</v>
      </c>
      <c r="L131">
        <v>55438</v>
      </c>
      <c r="M131">
        <v>24015</v>
      </c>
      <c r="N131">
        <v>188567</v>
      </c>
      <c r="O131">
        <v>24435</v>
      </c>
      <c r="P131">
        <v>335304</v>
      </c>
      <c r="Q131">
        <v>102646</v>
      </c>
      <c r="R131">
        <v>79014</v>
      </c>
      <c r="S131">
        <v>2852</v>
      </c>
      <c r="T131">
        <v>1006</v>
      </c>
      <c r="U131">
        <v>140799</v>
      </c>
      <c r="V131">
        <v>1926</v>
      </c>
      <c r="W131">
        <v>6340908</v>
      </c>
    </row>
    <row r="132" spans="1:23" x14ac:dyDescent="0.3">
      <c r="A132" t="s">
        <v>79</v>
      </c>
      <c r="B132" t="s">
        <v>143</v>
      </c>
      <c r="C132" t="s">
        <v>155</v>
      </c>
      <c r="D132">
        <v>8804</v>
      </c>
      <c r="E132">
        <v>109988</v>
      </c>
      <c r="F132">
        <v>46734</v>
      </c>
      <c r="G132">
        <v>80619</v>
      </c>
      <c r="H132">
        <v>3664</v>
      </c>
      <c r="I132">
        <v>69811</v>
      </c>
      <c r="J132">
        <v>5008114</v>
      </c>
      <c r="K132">
        <v>15410</v>
      </c>
      <c r="L132">
        <v>55097</v>
      </c>
      <c r="M132">
        <v>23867</v>
      </c>
      <c r="N132">
        <v>187405</v>
      </c>
      <c r="O132">
        <v>24285</v>
      </c>
      <c r="P132">
        <v>332627</v>
      </c>
      <c r="Q132">
        <v>102014</v>
      </c>
      <c r="R132">
        <v>78527</v>
      </c>
      <c r="S132">
        <v>2833</v>
      </c>
      <c r="T132">
        <v>999</v>
      </c>
      <c r="U132">
        <v>139903</v>
      </c>
      <c r="V132">
        <v>1913</v>
      </c>
      <c r="W132">
        <v>6292614</v>
      </c>
    </row>
    <row r="133" spans="1:23" x14ac:dyDescent="0.3">
      <c r="A133" t="s">
        <v>79</v>
      </c>
      <c r="B133" t="s">
        <v>143</v>
      </c>
      <c r="C133" t="s">
        <v>154</v>
      </c>
      <c r="D133">
        <v>8815</v>
      </c>
      <c r="E133">
        <v>110073</v>
      </c>
      <c r="F133">
        <v>46650</v>
      </c>
      <c r="G133">
        <v>80719</v>
      </c>
      <c r="H133">
        <v>3657</v>
      </c>
      <c r="I133">
        <v>69685</v>
      </c>
      <c r="J133">
        <v>5011977</v>
      </c>
      <c r="K133">
        <v>15550</v>
      </c>
      <c r="L133">
        <v>55171</v>
      </c>
      <c r="M133">
        <v>23899</v>
      </c>
      <c r="N133">
        <v>187658</v>
      </c>
      <c r="O133">
        <v>24318</v>
      </c>
      <c r="P133">
        <v>332766</v>
      </c>
      <c r="Q133">
        <v>102151</v>
      </c>
      <c r="R133">
        <v>78633</v>
      </c>
      <c r="S133">
        <v>2828</v>
      </c>
      <c r="T133">
        <v>997</v>
      </c>
      <c r="U133">
        <v>140044</v>
      </c>
      <c r="V133">
        <v>1909</v>
      </c>
      <c r="W133">
        <v>6297500</v>
      </c>
    </row>
    <row r="134" spans="1:23" x14ac:dyDescent="0.3">
      <c r="A134" t="s">
        <v>79</v>
      </c>
      <c r="B134" t="s">
        <v>143</v>
      </c>
      <c r="C134" t="s">
        <v>153</v>
      </c>
      <c r="D134">
        <v>8826</v>
      </c>
      <c r="E134">
        <v>110158</v>
      </c>
      <c r="F134">
        <v>46566</v>
      </c>
      <c r="G134">
        <v>80819</v>
      </c>
      <c r="H134">
        <v>3651</v>
      </c>
      <c r="I134">
        <v>69560</v>
      </c>
      <c r="J134">
        <v>5015840</v>
      </c>
      <c r="K134">
        <v>15691</v>
      </c>
      <c r="L134">
        <v>55246</v>
      </c>
      <c r="M134">
        <v>23931</v>
      </c>
      <c r="N134">
        <v>187912</v>
      </c>
      <c r="O134">
        <v>24350</v>
      </c>
      <c r="P134">
        <v>332904</v>
      </c>
      <c r="Q134">
        <v>102289</v>
      </c>
      <c r="R134">
        <v>78739</v>
      </c>
      <c r="S134">
        <v>2823</v>
      </c>
      <c r="T134">
        <v>995</v>
      </c>
      <c r="U134">
        <v>140184</v>
      </c>
      <c r="V134">
        <v>1906</v>
      </c>
      <c r="W134">
        <v>6302390</v>
      </c>
    </row>
    <row r="135" spans="1:23" x14ac:dyDescent="0.3">
      <c r="A135" t="s">
        <v>79</v>
      </c>
      <c r="B135" t="s">
        <v>143</v>
      </c>
      <c r="C135" t="s">
        <v>152</v>
      </c>
      <c r="D135">
        <v>8837</v>
      </c>
      <c r="E135">
        <v>110242</v>
      </c>
      <c r="F135">
        <v>46482</v>
      </c>
      <c r="G135">
        <v>80920</v>
      </c>
      <c r="H135">
        <v>3644</v>
      </c>
      <c r="I135">
        <v>69434</v>
      </c>
      <c r="J135">
        <v>5019703</v>
      </c>
      <c r="K135">
        <v>15832</v>
      </c>
      <c r="L135">
        <v>55320</v>
      </c>
      <c r="M135">
        <v>23964</v>
      </c>
      <c r="N135">
        <v>188165</v>
      </c>
      <c r="O135">
        <v>24383</v>
      </c>
      <c r="P135">
        <v>333042</v>
      </c>
      <c r="Q135">
        <v>102427</v>
      </c>
      <c r="R135">
        <v>78846</v>
      </c>
      <c r="S135">
        <v>2818</v>
      </c>
      <c r="T135">
        <v>994</v>
      </c>
      <c r="U135">
        <v>140325</v>
      </c>
      <c r="V135">
        <v>1902</v>
      </c>
      <c r="W135">
        <v>6307280</v>
      </c>
    </row>
    <row r="136" spans="1:23" x14ac:dyDescent="0.3">
      <c r="A136" t="s">
        <v>79</v>
      </c>
      <c r="B136" t="s">
        <v>143</v>
      </c>
      <c r="C136" t="s">
        <v>151</v>
      </c>
      <c r="D136">
        <v>8878</v>
      </c>
      <c r="E136">
        <v>110772</v>
      </c>
      <c r="F136">
        <v>46505</v>
      </c>
      <c r="G136">
        <v>81293</v>
      </c>
      <c r="H136">
        <v>3646</v>
      </c>
      <c r="I136">
        <v>69468</v>
      </c>
      <c r="J136">
        <v>5043824</v>
      </c>
      <c r="K136">
        <v>16218</v>
      </c>
      <c r="L136">
        <v>55590</v>
      </c>
      <c r="M136">
        <v>24081</v>
      </c>
      <c r="N136">
        <v>189085</v>
      </c>
      <c r="O136">
        <v>24502</v>
      </c>
      <c r="P136">
        <v>334505</v>
      </c>
      <c r="Q136">
        <v>102928</v>
      </c>
      <c r="R136">
        <v>79231</v>
      </c>
      <c r="S136">
        <v>2819</v>
      </c>
      <c r="T136">
        <v>994</v>
      </c>
      <c r="U136">
        <v>140954</v>
      </c>
      <c r="V136">
        <v>1903</v>
      </c>
      <c r="W136">
        <v>6337196</v>
      </c>
    </row>
    <row r="137" spans="1:23" x14ac:dyDescent="0.3">
      <c r="A137" t="s">
        <v>79</v>
      </c>
      <c r="B137" t="s">
        <v>143</v>
      </c>
      <c r="C137" t="s">
        <v>150</v>
      </c>
      <c r="D137">
        <v>8904</v>
      </c>
      <c r="E137">
        <v>111080</v>
      </c>
      <c r="F137">
        <v>46474</v>
      </c>
      <c r="G137">
        <v>81530</v>
      </c>
      <c r="H137">
        <v>3643</v>
      </c>
      <c r="I137">
        <v>69423</v>
      </c>
      <c r="J137">
        <v>5057816</v>
      </c>
      <c r="K137">
        <v>16481</v>
      </c>
      <c r="L137">
        <v>55763</v>
      </c>
      <c r="M137">
        <v>24155</v>
      </c>
      <c r="N137">
        <v>189671</v>
      </c>
      <c r="O137">
        <v>24578</v>
      </c>
      <c r="P137">
        <v>335305</v>
      </c>
      <c r="Q137">
        <v>103247</v>
      </c>
      <c r="R137">
        <v>79477</v>
      </c>
      <c r="S137">
        <v>2817</v>
      </c>
      <c r="T137">
        <v>993</v>
      </c>
      <c r="U137">
        <v>141339</v>
      </c>
      <c r="V137">
        <v>1902</v>
      </c>
      <c r="W137">
        <v>6354598</v>
      </c>
    </row>
    <row r="138" spans="1:23" x14ac:dyDescent="0.3">
      <c r="A138" t="s">
        <v>79</v>
      </c>
      <c r="B138" t="s">
        <v>143</v>
      </c>
      <c r="C138" t="s">
        <v>149</v>
      </c>
      <c r="D138">
        <v>8930</v>
      </c>
      <c r="E138">
        <v>111387</v>
      </c>
      <c r="F138">
        <v>46444</v>
      </c>
      <c r="G138">
        <v>81767</v>
      </c>
      <c r="H138">
        <v>3641</v>
      </c>
      <c r="I138">
        <v>69377</v>
      </c>
      <c r="J138">
        <v>5071807</v>
      </c>
      <c r="K138">
        <v>16744</v>
      </c>
      <c r="L138">
        <v>55935</v>
      </c>
      <c r="M138">
        <v>24230</v>
      </c>
      <c r="N138">
        <v>190258</v>
      </c>
      <c r="O138">
        <v>24654</v>
      </c>
      <c r="P138">
        <v>336106</v>
      </c>
      <c r="Q138">
        <v>103566</v>
      </c>
      <c r="R138">
        <v>79722</v>
      </c>
      <c r="S138">
        <v>2816</v>
      </c>
      <c r="T138">
        <v>993</v>
      </c>
      <c r="U138">
        <v>141724</v>
      </c>
      <c r="V138">
        <v>1901</v>
      </c>
      <c r="W138">
        <v>6372002</v>
      </c>
    </row>
    <row r="139" spans="1:23" x14ac:dyDescent="0.3">
      <c r="A139" t="s">
        <v>79</v>
      </c>
      <c r="B139" t="s">
        <v>143</v>
      </c>
      <c r="C139" t="s">
        <v>148</v>
      </c>
      <c r="D139">
        <v>8955</v>
      </c>
      <c r="E139">
        <v>111694</v>
      </c>
      <c r="F139">
        <v>46413</v>
      </c>
      <c r="G139">
        <v>82004</v>
      </c>
      <c r="H139">
        <v>3639</v>
      </c>
      <c r="I139">
        <v>69331</v>
      </c>
      <c r="J139">
        <v>5085799</v>
      </c>
      <c r="K139">
        <v>17007</v>
      </c>
      <c r="L139">
        <v>56108</v>
      </c>
      <c r="M139">
        <v>24305</v>
      </c>
      <c r="N139">
        <v>190844</v>
      </c>
      <c r="O139">
        <v>24730</v>
      </c>
      <c r="P139">
        <v>336906</v>
      </c>
      <c r="Q139">
        <v>103886</v>
      </c>
      <c r="R139">
        <v>79968</v>
      </c>
      <c r="S139">
        <v>2814</v>
      </c>
      <c r="T139">
        <v>992</v>
      </c>
      <c r="U139">
        <v>142108</v>
      </c>
      <c r="V139">
        <v>1900</v>
      </c>
      <c r="W139">
        <v>6389403</v>
      </c>
    </row>
    <row r="140" spans="1:23" x14ac:dyDescent="0.3">
      <c r="A140" t="s">
        <v>79</v>
      </c>
      <c r="B140" t="s">
        <v>143</v>
      </c>
      <c r="C140" t="s">
        <v>147</v>
      </c>
      <c r="D140">
        <v>8981</v>
      </c>
      <c r="E140">
        <v>112001</v>
      </c>
      <c r="F140">
        <v>46382</v>
      </c>
      <c r="G140">
        <v>82241</v>
      </c>
      <c r="H140">
        <v>3636</v>
      </c>
      <c r="I140">
        <v>69286</v>
      </c>
      <c r="J140">
        <v>5099791</v>
      </c>
      <c r="K140">
        <v>17270</v>
      </c>
      <c r="L140">
        <v>56280</v>
      </c>
      <c r="M140">
        <v>24379</v>
      </c>
      <c r="N140">
        <v>191431</v>
      </c>
      <c r="O140">
        <v>24806</v>
      </c>
      <c r="P140">
        <v>337707</v>
      </c>
      <c r="Q140">
        <v>104205</v>
      </c>
      <c r="R140">
        <v>80214</v>
      </c>
      <c r="S140">
        <v>2812</v>
      </c>
      <c r="T140">
        <v>992</v>
      </c>
      <c r="U140">
        <v>142493</v>
      </c>
      <c r="V140">
        <v>1898</v>
      </c>
      <c r="W140">
        <v>6406805</v>
      </c>
    </row>
    <row r="141" spans="1:23" x14ac:dyDescent="0.3">
      <c r="A141" t="s">
        <v>79</v>
      </c>
      <c r="B141" t="s">
        <v>143</v>
      </c>
      <c r="C141" t="s">
        <v>146</v>
      </c>
      <c r="D141">
        <v>9037</v>
      </c>
      <c r="E141">
        <v>112754</v>
      </c>
      <c r="F141">
        <v>46459</v>
      </c>
      <c r="G141">
        <v>82751</v>
      </c>
      <c r="H141">
        <v>3642</v>
      </c>
      <c r="I141">
        <v>69400</v>
      </c>
      <c r="J141">
        <v>5134040</v>
      </c>
      <c r="K141">
        <v>17779</v>
      </c>
      <c r="L141">
        <v>56648</v>
      </c>
      <c r="M141">
        <v>24539</v>
      </c>
      <c r="N141">
        <v>192684</v>
      </c>
      <c r="O141">
        <v>24969</v>
      </c>
      <c r="P141">
        <v>339832</v>
      </c>
      <c r="Q141">
        <v>104887</v>
      </c>
      <c r="R141">
        <v>80739</v>
      </c>
      <c r="S141">
        <v>2816</v>
      </c>
      <c r="T141">
        <v>993</v>
      </c>
      <c r="U141">
        <v>143366</v>
      </c>
      <c r="V141">
        <v>1902</v>
      </c>
      <c r="W141">
        <v>6449237</v>
      </c>
    </row>
    <row r="142" spans="1:23" x14ac:dyDescent="0.3">
      <c r="A142" t="s">
        <v>79</v>
      </c>
      <c r="B142" t="s">
        <v>143</v>
      </c>
      <c r="C142" t="s">
        <v>145</v>
      </c>
      <c r="D142">
        <v>9078</v>
      </c>
      <c r="E142">
        <v>113283</v>
      </c>
      <c r="F142">
        <v>46482</v>
      </c>
      <c r="G142">
        <v>83125</v>
      </c>
      <c r="H142">
        <v>3644</v>
      </c>
      <c r="I142">
        <v>69435</v>
      </c>
      <c r="J142">
        <v>5158161</v>
      </c>
      <c r="K142">
        <v>18164</v>
      </c>
      <c r="L142">
        <v>56919</v>
      </c>
      <c r="M142">
        <v>24656</v>
      </c>
      <c r="N142">
        <v>193603</v>
      </c>
      <c r="O142">
        <v>25088</v>
      </c>
      <c r="P142">
        <v>341295</v>
      </c>
      <c r="Q142">
        <v>105387</v>
      </c>
      <c r="R142">
        <v>81124</v>
      </c>
      <c r="S142">
        <v>2818</v>
      </c>
      <c r="T142">
        <v>994</v>
      </c>
      <c r="U142">
        <v>143995</v>
      </c>
      <c r="V142">
        <v>1902</v>
      </c>
      <c r="W142">
        <v>6479153</v>
      </c>
    </row>
    <row r="143" spans="1:23" x14ac:dyDescent="0.3">
      <c r="A143" t="s">
        <v>79</v>
      </c>
      <c r="B143" t="s">
        <v>143</v>
      </c>
      <c r="C143" t="s">
        <v>144</v>
      </c>
      <c r="D143">
        <v>9119</v>
      </c>
      <c r="E143">
        <v>113813</v>
      </c>
      <c r="F143">
        <v>46506</v>
      </c>
      <c r="G143">
        <v>83498</v>
      </c>
      <c r="H143">
        <v>3646</v>
      </c>
      <c r="I143">
        <v>69469</v>
      </c>
      <c r="J143">
        <v>5182281</v>
      </c>
      <c r="K143">
        <v>18550</v>
      </c>
      <c r="L143">
        <v>57189</v>
      </c>
      <c r="M143">
        <v>24773</v>
      </c>
      <c r="N143">
        <v>194523</v>
      </c>
      <c r="O143">
        <v>25207</v>
      </c>
      <c r="P143">
        <v>342758</v>
      </c>
      <c r="Q143">
        <v>105888</v>
      </c>
      <c r="R143">
        <v>81509</v>
      </c>
      <c r="S143">
        <v>2819</v>
      </c>
      <c r="T143">
        <v>994</v>
      </c>
      <c r="U143">
        <v>144624</v>
      </c>
      <c r="V143">
        <v>1904</v>
      </c>
      <c r="W143">
        <v>6509070</v>
      </c>
    </row>
    <row r="144" spans="1:23" x14ac:dyDescent="0.3">
      <c r="A144" t="s">
        <v>79</v>
      </c>
      <c r="B144" t="s">
        <v>143</v>
      </c>
      <c r="C144" t="s">
        <v>142</v>
      </c>
      <c r="D144">
        <v>9227</v>
      </c>
      <c r="E144">
        <v>115344</v>
      </c>
      <c r="F144">
        <v>46770</v>
      </c>
      <c r="G144">
        <v>84487</v>
      </c>
      <c r="H144">
        <v>3667</v>
      </c>
      <c r="I144">
        <v>69865</v>
      </c>
      <c r="J144">
        <v>5251982</v>
      </c>
      <c r="K144">
        <v>19488</v>
      </c>
      <c r="L144">
        <v>57900</v>
      </c>
      <c r="M144">
        <v>25081</v>
      </c>
      <c r="N144">
        <v>196941</v>
      </c>
      <c r="O144">
        <v>25520</v>
      </c>
      <c r="P144">
        <v>347202</v>
      </c>
      <c r="Q144">
        <v>107204</v>
      </c>
      <c r="R144">
        <v>82523</v>
      </c>
      <c r="S144">
        <v>2835</v>
      </c>
      <c r="T144">
        <v>1000</v>
      </c>
      <c r="U144">
        <v>146350</v>
      </c>
      <c r="V144">
        <v>1914</v>
      </c>
      <c r="W144">
        <v>6595300</v>
      </c>
    </row>
    <row r="145" spans="1:23" x14ac:dyDescent="0.3">
      <c r="A145" t="s">
        <v>79</v>
      </c>
      <c r="B145" t="s">
        <v>129</v>
      </c>
      <c r="C145" t="s">
        <v>141</v>
      </c>
      <c r="D145">
        <v>9182</v>
      </c>
      <c r="E145">
        <v>114599</v>
      </c>
      <c r="F145">
        <v>46486</v>
      </c>
      <c r="G145">
        <v>84078</v>
      </c>
      <c r="H145">
        <v>3644</v>
      </c>
      <c r="I145">
        <v>69440</v>
      </c>
      <c r="J145">
        <v>5218072</v>
      </c>
      <c r="K145">
        <v>19171</v>
      </c>
      <c r="L145">
        <v>57610</v>
      </c>
      <c r="M145">
        <v>24955</v>
      </c>
      <c r="N145">
        <v>195952</v>
      </c>
      <c r="O145">
        <v>25392</v>
      </c>
      <c r="P145">
        <v>344870</v>
      </c>
      <c r="Q145">
        <v>106666</v>
      </c>
      <c r="R145">
        <v>82108</v>
      </c>
      <c r="S145">
        <v>2818</v>
      </c>
      <c r="T145">
        <v>994</v>
      </c>
      <c r="U145">
        <v>145581</v>
      </c>
      <c r="V145">
        <v>1903</v>
      </c>
      <c r="W145">
        <v>6553521</v>
      </c>
    </row>
    <row r="146" spans="1:23" x14ac:dyDescent="0.3">
      <c r="A146" t="s">
        <v>79</v>
      </c>
      <c r="B146" t="s">
        <v>129</v>
      </c>
      <c r="C146" t="s">
        <v>140</v>
      </c>
      <c r="D146">
        <v>9197</v>
      </c>
      <c r="E146">
        <v>114742</v>
      </c>
      <c r="F146">
        <v>46416</v>
      </c>
      <c r="G146">
        <v>84214</v>
      </c>
      <c r="H146">
        <v>3639</v>
      </c>
      <c r="I146">
        <v>69335</v>
      </c>
      <c r="J146">
        <v>5224573</v>
      </c>
      <c r="K146">
        <v>19344</v>
      </c>
      <c r="L146">
        <v>57710</v>
      </c>
      <c r="M146">
        <v>24999</v>
      </c>
      <c r="N146">
        <v>196292</v>
      </c>
      <c r="O146">
        <v>25436</v>
      </c>
      <c r="P146">
        <v>345181</v>
      </c>
      <c r="Q146">
        <v>106851</v>
      </c>
      <c r="R146">
        <v>82251</v>
      </c>
      <c r="S146">
        <v>2814</v>
      </c>
      <c r="T146">
        <v>992</v>
      </c>
      <c r="U146">
        <v>145786</v>
      </c>
      <c r="V146">
        <v>1900</v>
      </c>
      <c r="W146">
        <v>6561672</v>
      </c>
    </row>
    <row r="147" spans="1:23" x14ac:dyDescent="0.3">
      <c r="A147" t="s">
        <v>79</v>
      </c>
      <c r="B147" t="s">
        <v>129</v>
      </c>
      <c r="C147" t="s">
        <v>139</v>
      </c>
      <c r="D147">
        <v>9212</v>
      </c>
      <c r="E147">
        <v>114885</v>
      </c>
      <c r="F147">
        <v>46345</v>
      </c>
      <c r="G147">
        <v>84349</v>
      </c>
      <c r="H147">
        <v>3633</v>
      </c>
      <c r="I147">
        <v>69230</v>
      </c>
      <c r="J147">
        <v>5231074</v>
      </c>
      <c r="K147">
        <v>19516</v>
      </c>
      <c r="L147">
        <v>57810</v>
      </c>
      <c r="M147">
        <v>25042</v>
      </c>
      <c r="N147">
        <v>196633</v>
      </c>
      <c r="O147">
        <v>25480</v>
      </c>
      <c r="P147">
        <v>345492</v>
      </c>
      <c r="Q147">
        <v>107036</v>
      </c>
      <c r="R147">
        <v>82394</v>
      </c>
      <c r="S147">
        <v>2810</v>
      </c>
      <c r="T147">
        <v>991</v>
      </c>
      <c r="U147">
        <v>145990</v>
      </c>
      <c r="V147">
        <v>1897</v>
      </c>
      <c r="W147">
        <v>6569819</v>
      </c>
    </row>
    <row r="148" spans="1:23" x14ac:dyDescent="0.3">
      <c r="A148" t="s">
        <v>79</v>
      </c>
      <c r="B148" t="s">
        <v>129</v>
      </c>
      <c r="C148" t="s">
        <v>138</v>
      </c>
      <c r="D148">
        <v>9226</v>
      </c>
      <c r="E148">
        <v>115027</v>
      </c>
      <c r="F148">
        <v>46275</v>
      </c>
      <c r="G148">
        <v>84485</v>
      </c>
      <c r="H148">
        <v>3628</v>
      </c>
      <c r="I148">
        <v>69125</v>
      </c>
      <c r="J148">
        <v>5237574</v>
      </c>
      <c r="K148">
        <v>19689</v>
      </c>
      <c r="L148">
        <v>57910</v>
      </c>
      <c r="M148">
        <v>25085</v>
      </c>
      <c r="N148">
        <v>196973</v>
      </c>
      <c r="O148">
        <v>25524</v>
      </c>
      <c r="P148">
        <v>345802</v>
      </c>
      <c r="Q148">
        <v>107222</v>
      </c>
      <c r="R148">
        <v>82536</v>
      </c>
      <c r="S148">
        <v>2805</v>
      </c>
      <c r="T148">
        <v>989</v>
      </c>
      <c r="U148">
        <v>146195</v>
      </c>
      <c r="V148">
        <v>1894</v>
      </c>
      <c r="W148">
        <v>6577964</v>
      </c>
    </row>
    <row r="149" spans="1:23" x14ac:dyDescent="0.3">
      <c r="A149" t="s">
        <v>79</v>
      </c>
      <c r="B149" t="s">
        <v>129</v>
      </c>
      <c r="C149" t="s">
        <v>137</v>
      </c>
      <c r="D149">
        <v>9277</v>
      </c>
      <c r="E149">
        <v>115708</v>
      </c>
      <c r="F149">
        <v>46334</v>
      </c>
      <c r="G149">
        <v>84951</v>
      </c>
      <c r="H149">
        <v>3632</v>
      </c>
      <c r="I149">
        <v>69214</v>
      </c>
      <c r="J149">
        <v>5268553</v>
      </c>
      <c r="K149">
        <v>20158</v>
      </c>
      <c r="L149">
        <v>58246</v>
      </c>
      <c r="M149">
        <v>25231</v>
      </c>
      <c r="N149">
        <v>198118</v>
      </c>
      <c r="O149">
        <v>25673</v>
      </c>
      <c r="P149">
        <v>347714</v>
      </c>
      <c r="Q149">
        <v>107845</v>
      </c>
      <c r="R149">
        <v>83016</v>
      </c>
      <c r="S149">
        <v>2809</v>
      </c>
      <c r="T149">
        <v>990</v>
      </c>
      <c r="U149">
        <v>146989</v>
      </c>
      <c r="V149">
        <v>1896</v>
      </c>
      <c r="W149">
        <v>6616354</v>
      </c>
    </row>
    <row r="150" spans="1:23" x14ac:dyDescent="0.3">
      <c r="A150" t="s">
        <v>79</v>
      </c>
      <c r="B150" t="s">
        <v>129</v>
      </c>
      <c r="C150" t="s">
        <v>136</v>
      </c>
      <c r="D150">
        <v>9310</v>
      </c>
      <c r="E150">
        <v>116119</v>
      </c>
      <c r="F150">
        <v>46329</v>
      </c>
      <c r="G150">
        <v>85252</v>
      </c>
      <c r="H150">
        <v>3632</v>
      </c>
      <c r="I150">
        <v>69206</v>
      </c>
      <c r="J150">
        <v>5287293</v>
      </c>
      <c r="K150">
        <v>20478</v>
      </c>
      <c r="L150">
        <v>58465</v>
      </c>
      <c r="M150">
        <v>25326</v>
      </c>
      <c r="N150">
        <v>198860</v>
      </c>
      <c r="O150">
        <v>25769</v>
      </c>
      <c r="P150">
        <v>348825</v>
      </c>
      <c r="Q150">
        <v>108249</v>
      </c>
      <c r="R150">
        <v>83327</v>
      </c>
      <c r="S150">
        <v>2809</v>
      </c>
      <c r="T150">
        <v>990</v>
      </c>
      <c r="U150">
        <v>147488</v>
      </c>
      <c r="V150">
        <v>1896</v>
      </c>
      <c r="W150">
        <v>6639623</v>
      </c>
    </row>
    <row r="151" spans="1:23" x14ac:dyDescent="0.3">
      <c r="A151" t="s">
        <v>79</v>
      </c>
      <c r="B151" t="s">
        <v>129</v>
      </c>
      <c r="C151" t="s">
        <v>135</v>
      </c>
      <c r="D151">
        <v>9343</v>
      </c>
      <c r="E151">
        <v>116531</v>
      </c>
      <c r="F151">
        <v>46324</v>
      </c>
      <c r="G151">
        <v>85553</v>
      </c>
      <c r="H151">
        <v>3632</v>
      </c>
      <c r="I151">
        <v>69198</v>
      </c>
      <c r="J151">
        <v>5306032</v>
      </c>
      <c r="K151">
        <v>20799</v>
      </c>
      <c r="L151">
        <v>58683</v>
      </c>
      <c r="M151">
        <v>25420</v>
      </c>
      <c r="N151">
        <v>199603</v>
      </c>
      <c r="O151">
        <v>25865</v>
      </c>
      <c r="P151">
        <v>349936</v>
      </c>
      <c r="Q151">
        <v>108654</v>
      </c>
      <c r="R151">
        <v>83638</v>
      </c>
      <c r="S151">
        <v>2808</v>
      </c>
      <c r="T151">
        <v>990</v>
      </c>
      <c r="U151">
        <v>147987</v>
      </c>
      <c r="V151">
        <v>1896</v>
      </c>
      <c r="W151">
        <v>6662892</v>
      </c>
    </row>
    <row r="152" spans="1:23" x14ac:dyDescent="0.3">
      <c r="A152" t="s">
        <v>79</v>
      </c>
      <c r="B152" t="s">
        <v>129</v>
      </c>
      <c r="C152" t="s">
        <v>134</v>
      </c>
      <c r="D152">
        <v>9376</v>
      </c>
      <c r="E152">
        <v>116942</v>
      </c>
      <c r="F152">
        <v>46318</v>
      </c>
      <c r="G152">
        <v>85854</v>
      </c>
      <c r="H152">
        <v>3631</v>
      </c>
      <c r="I152">
        <v>69190</v>
      </c>
      <c r="J152">
        <v>5324772</v>
      </c>
      <c r="K152">
        <v>21119</v>
      </c>
      <c r="L152">
        <v>58901</v>
      </c>
      <c r="M152">
        <v>25515</v>
      </c>
      <c r="N152">
        <v>200346</v>
      </c>
      <c r="O152">
        <v>25962</v>
      </c>
      <c r="P152">
        <v>351047</v>
      </c>
      <c r="Q152">
        <v>109058</v>
      </c>
      <c r="R152">
        <v>83949</v>
      </c>
      <c r="S152">
        <v>2808</v>
      </c>
      <c r="T152">
        <v>990</v>
      </c>
      <c r="U152">
        <v>148486</v>
      </c>
      <c r="V152">
        <v>1896</v>
      </c>
      <c r="W152">
        <v>6686160</v>
      </c>
    </row>
    <row r="153" spans="1:23" x14ac:dyDescent="0.3">
      <c r="A153" t="s">
        <v>79</v>
      </c>
      <c r="B153" t="s">
        <v>129</v>
      </c>
      <c r="C153" t="s">
        <v>133</v>
      </c>
      <c r="D153">
        <v>9409</v>
      </c>
      <c r="E153">
        <v>117354</v>
      </c>
      <c r="F153">
        <v>46313</v>
      </c>
      <c r="G153">
        <v>86155</v>
      </c>
      <c r="H153">
        <v>3631</v>
      </c>
      <c r="I153">
        <v>69182</v>
      </c>
      <c r="J153">
        <v>5343512</v>
      </c>
      <c r="K153">
        <v>21440</v>
      </c>
      <c r="L153">
        <v>59120</v>
      </c>
      <c r="M153">
        <v>25609</v>
      </c>
      <c r="N153">
        <v>201088</v>
      </c>
      <c r="O153">
        <v>26058</v>
      </c>
      <c r="P153">
        <v>352158</v>
      </c>
      <c r="Q153">
        <v>109462</v>
      </c>
      <c r="R153">
        <v>84261</v>
      </c>
      <c r="S153">
        <v>2808</v>
      </c>
      <c r="T153">
        <v>990</v>
      </c>
      <c r="U153">
        <v>148985</v>
      </c>
      <c r="V153">
        <v>1896</v>
      </c>
      <c r="W153">
        <v>6709431</v>
      </c>
    </row>
    <row r="154" spans="1:23" x14ac:dyDescent="0.3">
      <c r="A154" t="s">
        <v>79</v>
      </c>
      <c r="B154" t="s">
        <v>129</v>
      </c>
      <c r="C154" t="s">
        <v>132</v>
      </c>
      <c r="D154">
        <v>9478</v>
      </c>
      <c r="E154">
        <v>118303</v>
      </c>
      <c r="F154">
        <v>46437</v>
      </c>
      <c r="G154">
        <v>86787</v>
      </c>
      <c r="H154">
        <v>3641</v>
      </c>
      <c r="I154">
        <v>69367</v>
      </c>
      <c r="J154">
        <v>5386729</v>
      </c>
      <c r="K154">
        <v>22057</v>
      </c>
      <c r="L154">
        <v>59575</v>
      </c>
      <c r="M154">
        <v>25806</v>
      </c>
      <c r="N154">
        <v>202636</v>
      </c>
      <c r="O154">
        <v>26258</v>
      </c>
      <c r="P154">
        <v>354870</v>
      </c>
      <c r="Q154">
        <v>110304</v>
      </c>
      <c r="R154">
        <v>84909</v>
      </c>
      <c r="S154">
        <v>2815</v>
      </c>
      <c r="T154">
        <v>993</v>
      </c>
      <c r="U154">
        <v>150074</v>
      </c>
      <c r="V154">
        <v>1901</v>
      </c>
      <c r="W154">
        <v>6762940</v>
      </c>
    </row>
    <row r="155" spans="1:23" x14ac:dyDescent="0.3">
      <c r="A155" t="s">
        <v>79</v>
      </c>
      <c r="B155" t="s">
        <v>129</v>
      </c>
      <c r="C155" t="s">
        <v>131</v>
      </c>
      <c r="D155">
        <v>9529</v>
      </c>
      <c r="E155">
        <v>118983</v>
      </c>
      <c r="F155">
        <v>46497</v>
      </c>
      <c r="G155">
        <v>87253</v>
      </c>
      <c r="H155">
        <v>3645</v>
      </c>
      <c r="I155">
        <v>69456</v>
      </c>
      <c r="J155">
        <v>5417708</v>
      </c>
      <c r="K155">
        <v>22526</v>
      </c>
      <c r="L155">
        <v>59911</v>
      </c>
      <c r="M155">
        <v>25952</v>
      </c>
      <c r="N155">
        <v>203781</v>
      </c>
      <c r="O155">
        <v>26407</v>
      </c>
      <c r="P155">
        <v>356781</v>
      </c>
      <c r="Q155">
        <v>110928</v>
      </c>
      <c r="R155">
        <v>85389</v>
      </c>
      <c r="S155">
        <v>2819</v>
      </c>
      <c r="T155">
        <v>994</v>
      </c>
      <c r="U155">
        <v>150868</v>
      </c>
      <c r="V155">
        <v>1903</v>
      </c>
      <c r="W155">
        <v>6801330</v>
      </c>
    </row>
    <row r="156" spans="1:23" x14ac:dyDescent="0.3">
      <c r="A156" t="s">
        <v>79</v>
      </c>
      <c r="B156" t="s">
        <v>129</v>
      </c>
      <c r="C156" t="s">
        <v>130</v>
      </c>
      <c r="D156">
        <v>9580</v>
      </c>
      <c r="E156">
        <v>119664</v>
      </c>
      <c r="F156">
        <v>46556</v>
      </c>
      <c r="G156">
        <v>87719</v>
      </c>
      <c r="H156">
        <v>3650</v>
      </c>
      <c r="I156">
        <v>69545</v>
      </c>
      <c r="J156">
        <v>5448687</v>
      </c>
      <c r="K156">
        <v>22994</v>
      </c>
      <c r="L156">
        <v>60248</v>
      </c>
      <c r="M156">
        <v>26098</v>
      </c>
      <c r="N156">
        <v>204926</v>
      </c>
      <c r="O156">
        <v>26555</v>
      </c>
      <c r="P156">
        <v>358693</v>
      </c>
      <c r="Q156">
        <v>111551</v>
      </c>
      <c r="R156">
        <v>85869</v>
      </c>
      <c r="S156">
        <v>2822</v>
      </c>
      <c r="T156">
        <v>995</v>
      </c>
      <c r="U156">
        <v>151662</v>
      </c>
      <c r="V156">
        <v>1906</v>
      </c>
      <c r="W156">
        <v>6839720</v>
      </c>
    </row>
    <row r="157" spans="1:23" x14ac:dyDescent="0.3">
      <c r="A157" t="s">
        <v>79</v>
      </c>
      <c r="B157" t="s">
        <v>129</v>
      </c>
      <c r="C157" t="s">
        <v>128</v>
      </c>
      <c r="D157">
        <v>9712</v>
      </c>
      <c r="E157">
        <v>121554</v>
      </c>
      <c r="F157">
        <v>46908</v>
      </c>
      <c r="G157">
        <v>88928</v>
      </c>
      <c r="H157">
        <v>3677</v>
      </c>
      <c r="I157">
        <v>70070</v>
      </c>
      <c r="J157">
        <v>5534741</v>
      </c>
      <c r="K157">
        <v>24130</v>
      </c>
      <c r="L157">
        <v>61117</v>
      </c>
      <c r="M157">
        <v>26475</v>
      </c>
      <c r="N157">
        <v>207882</v>
      </c>
      <c r="O157">
        <v>26938</v>
      </c>
      <c r="P157">
        <v>364206</v>
      </c>
      <c r="Q157">
        <v>113160</v>
      </c>
      <c r="R157">
        <v>87108</v>
      </c>
      <c r="S157">
        <v>2844</v>
      </c>
      <c r="T157">
        <v>1003</v>
      </c>
      <c r="U157">
        <v>153783</v>
      </c>
      <c r="V157">
        <v>1920</v>
      </c>
      <c r="W157">
        <v>6946156</v>
      </c>
    </row>
  </sheetData>
  <autoFilter ref="A1:W157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FY26 Official</vt:lpstr>
      <vt:lpstr>Product Estimates</vt:lpstr>
      <vt:lpstr>Product x Quarter</vt:lpstr>
      <vt:lpstr>Warranty Assumptions</vt:lpstr>
      <vt:lpstr>ASU by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 Nair</cp:lastModifiedBy>
  <cp:revision>0</cp:revision>
  <dcterms:created xsi:type="dcterms:W3CDTF">2026-07-20T11:04:15Z</dcterms:created>
  <dcterms:modified xsi:type="dcterms:W3CDTF">2026-07-22T07:46:39Z</dcterms:modified>
  <dc:language>en-US</dc:language>
</cp:coreProperties>
</file>